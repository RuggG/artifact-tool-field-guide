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2.xml" ContentType="application/vnd.openxmlformats-officedocument.drawing+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worksheets/sheet4.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95f435e85ff439d" /></Relationships>
</file>

<file path=xl/workbook.xml><?xml version="1.0" encoding="utf-8"?>
<x:workbook xmlns:x="http://schemas.openxmlformats.org/spreadsheetml/2006/main">
  <x:sheets>
    <x:sheet xmlns:r="http://schemas.openxmlformats.org/officeDocument/2006/relationships" name="Summary" sheetId="1" r:id="R024532c4e03440eb"/>
    <x:sheet xmlns:r="http://schemas.openxmlformats.org/officeDocument/2006/relationships" name="Assumptions" sheetId="2" r:id="R68d22edcde9f4b2f"/>
    <x:sheet xmlns:r="http://schemas.openxmlformats.org/officeDocument/2006/relationships" name="Fee engine" sheetId="3" r:id="Rdf66cc3c38764750"/>
    <x:sheet xmlns:r="http://schemas.openxmlformats.org/officeDocument/2006/relationships" name="Disclosures" sheetId="4" r:id="R4ed91ba07dd44a46"/>
    <x:sheet xmlns:r="http://schemas.openxmlformats.org/officeDocument/2006/relationships" name="Checks" sheetId="5" r:id="Rc785987f09e9402f"/>
    <x:sheet xmlns:r="http://schemas.openxmlformats.org/officeDocument/2006/relationships" name="Readme" sheetId="6" r:id="R27bb52a02020434c"/>
  </x:sheets>
</x:workbook>
</file>

<file path=xl/comments1.xml><?xml version="1.0" encoding="utf-8"?>
<x:comments xmlns:x="http://schemas.openxmlformats.org/spreadsheetml/2006/main">
  <x:authors>
    <x:author>tc={A518F3B3-C743-4D43-8F24-4B5FAD0B4E8A}</x:author>
    <x:author>tc={9E2C135F-F8EE-4D5D-866F-EDB81E504D9B}</x:author>
    <x:author>tc={EE8B9BC0-216C-49ED-BDDB-C319B1100EE3}</x:author>
    <x:author>tc={CE437C96-4E8F-43E1-A742-DAED2FBCE51B}</x:author>
    <x:author>tc={0EFBCE22-A056-4A37-9930-C6491BACCF46}</x:author>
    <x:author>tc={32FF70A8-0AE0-4555-93E4-4829463A88E9}</x:author>
    <x:author>tc={CD45BCBD-1572-4B49-A496-EE34E6284B4C}</x:author>
    <x:author>tc={65509F12-7167-4AA2-8793-4CC2F2D67EDF}</x:author>
    <x:author>tc={86E226C9-E3FD-4081-B46E-C55CBE336BEA}</x:author>
  </x:authors>
  <x:commentList>
    <x:comment ref="D41" authorId="0">
      <x:text>
        <x:r>
          <x:t>[Threaded comment]
Your version of Excel allows you to read this threaded comment; however, any edits to it will get removed if the file is opened in a newer version of Excel. Learn more: https://go.microsoft.com/fwlink/?linkid=870924
Comment:
    Judgement: allocate 10% of H1 performance fees to Q1 and 90% to Q2. Q1/Q3 disclosures provide AUM, not earnings. This allows limited intra-half crystallisations while concentrating recognition in the reporting half-end quarter. It is not a disclosed quarterly result. Change this input to test timing; H1 and FY totals stay fixed.</x:t>
        </x:r>
      </x:text>
    </x:comment>
    <x:comment ref="D42" authorId="1">
      <x:text>
        <x:r>
          <x:t>[Threaded comment]
Your version of Excel allows you to read this threaded comment; however, any edits to it will get removed if the file is opened in a newer version of Excel. Learn more: https://go.microsoft.com/fwlink/?linkid=870924
Comment:
    Judgement: allocate 10% of FY less H1 performance fees to Q3 and 90% to Q4. Forecasts copy the corresponding 2025 estimated quarter, as required by the exercise. This timing is an assumption, not observed seasonality.</x:t>
        </x:r>
      </x:text>
    </x:comment>
    <x:comment ref="D50" authorId="2">
      <x:text>
        <x:r>
          <x:t>[Threaded comment]
Your version of Excel allows you to read this threaded comment; however, any edits to it will get removed if the file is opened in a newer version of Excel. Learn more: https://go.microsoft.com/fwlink/?linkid=870924
Comment:
    Uses the published 2025 average net management-fee margin of 56bp, held flat under the exercise. H1 2026 reported 52bp and year-end 2025 run-rate margin was 52bp. Forecast assumes a recovery to the 2025 average. Midpoint AUM is a proxy; historical fees / midpoint AUM need not exactly match the published fund-level margin.</x:t>
        </x:r>
      </x:text>
    </x:comment>
    <x:comment ref="D51" authorId="3">
      <x:text>
        <x:r>
          <x:t>[Threaded comment]
Your version of Excel allows you to read this threaded comment; however, any edits to it will get removed if the file is opened in a newer version of Excel. Learn more: https://go.microsoft.com/fwlink/?linkid=870924
Comment:
    All fixed compensation is assigned to the management-fee business, consistent with treating disclosed performance-fee compensation as variable. ($481m management compensation less $274m fixed) / $1,077m net management fees = variable management compensation ratio.</x:t>
        </x:r>
      </x:text>
    </x:comment>
    <x:comment ref="D52" authorId="4">
      <x:text>
        <x:r>
          <x:t>[Threaded comment]
Your version of Excel allows you to read this threaded comment; however, any edits to it will get removed if the file is opened in a newer version of Excel. Learn more: https://go.microsoft.com/fwlink/?linkid=870924
Comment:
    Company groups seed investment gains with performance-fee profits. Allocate disclosed $194m performance-fee compensation across $281m fees plus $38m seed gains at one 2025 participation ratio. This is a model attribution. A zero fee scenario removes the fee-linked compensation; seed-linked compensation remains with the seed gain assumption.</x:t>
        </x:r>
      </x:text>
    </x:comment>
    <x:comment ref="D53" authorId="5">
      <x:text>
        <x:r>
          <x:t>[Threaded comment]
Your version of Excel allows you to read this threaded comment; however, any edits to it will get removed if the file is opened in a newer version of Excel. Learn more: https://go.microsoft.com/fwlink/?linkid=870924
Comment:
    Calibrated blended servicing cost per dollar of midpoint total AUM. Company quotes around 5bp on a narrower AUM perimeter excluding systematic long-only; applying 5bp to total AUM would overstate costs. This blended rate assumes a stable servicing mix.</x:t>
        </x:r>
      </x:text>
    </x:comment>
    <x:comment ref="D56" authorId="6">
      <x:text>
        <x:r>
          <x:t>[Threaded comment]
Your version of Excel allows you to read this threaded comment; however, any edits to it will get removed if the file is opened in a newer version of Excel. Learn more: https://go.microsoft.com/fwlink/?linkid=870924
Comment:
    Use unrounded ratio $86m/$407m, approximately 21.13%, rather than rounded published 21%. Apply to forecast quarters only; actual H1 2026 tax and shares stay reported.</x:t>
        </x:r>
      </x:text>
    </x:comment>
    <x:comment ref="D57" authorId="7">
      <x:text>
        <x:r>
          <x:t>[Threaded comment]
Your version of Excel allows you to read this threaded comment; however, any edits to it will get removed if the file is opened in a newer version of Excel. Learn more: https://go.microsoft.com/fwlink/?linkid=870924
Comment:
    Hold base-year diluted weighted-average shares at 1,164.877368 million for forecast quarters. No incremental buyback or issuance is assumed; FY2026 averages actual H1 shares with this H2 forecast.</x:t>
        </x:r>
      </x:text>
    </x:comment>
    <x:comment ref="D64" authorId="8">
      <x:text>
        <x:r>
          <x:t>[Threaded comment]
Your version of Excel allows you to read this threaded comment; however, any edits to it will get removed if the file is opened in a newer version of Excel. Learn more: https://go.microsoft.com/fwlink/?linkid=870924
Comment:
    Seed-book funding remains at 2025 annual expense / 4, including in the zero-performance-fee case, because seed investment exposure is held unchanged.</x:t>
        </x:r>
      </x:text>
    </x:comment>
  </x:commentList>
</x:comments>
</file>

<file path=xl/comments2.xml><?xml version="1.0" encoding="utf-8"?>
<x:comments xmlns:x="http://schemas.openxmlformats.org/spreadsheetml/2006/main">
  <x:authors>
    <x:author>tc={CDBEA398-A87B-42B5-AD35-F3EFE4D09F9A}</x:author>
    <x:author>tc={B0FDDE5E-33B2-408F-96E2-3735FDEF93F1}</x:author>
    <x:author>tc={F2F4C977-6DEA-4976-8DED-74718DA428B4}</x:author>
    <x:author>tc={276E7B68-75C7-4D53-95C4-DF7FFCFF7955}</x:author>
    <x:author>tc={4DEDCDD7-B36D-416F-8471-BEB418A7E277}</x:author>
    <x:author>tc={80901E30-2508-42F2-9B6B-C949BA11BEC8}</x:author>
    <x:author>tc={BEA9853A-0C73-4500-A479-B138DD523D21}</x:author>
    <x:author>tc={429FE215-296E-4018-B00C-6A631CCA5B5C}</x:author>
    <x:author>tc={5A22C8DB-D5F4-45A8-BAD3-807CBD934D74}</x:author>
    <x:author>tc={62A5B251-23DF-4ADB-91C2-4C015C6CD153}</x:author>
    <x:author>tc={ED707D1E-5FA7-46B7-B4CE-A1E728DE8662}</x:author>
    <x:author>tc={1D1AFE4F-BC2D-4828-B880-9BF477D6A632}</x:author>
    <x:author>tc={504353C4-64AA-497F-9BF0-60DDD5B988B0}</x:author>
    <x:author>tc={CC41711F-995B-4B59-9724-83F999910457}</x:author>
    <x:author>tc={A6371CA5-F33F-4E53-87EA-AE3084CF521E}</x:author>
    <x:author>tc={76F46779-58E4-4826-8D2E-530FEB1770C4}</x:author>
    <x:author>tc={B0F7780E-A036-42B0-8AA7-8AA403D3E040}</x:author>
    <x:author>tc={73DF9FF1-DFB3-499A-B10C-6FCE23A94B33}</x:author>
    <x:author>tc={494DC3C8-2796-40DF-87DE-12190BA64EC8}</x:author>
    <x:author>tc={135E8D6C-A270-49F7-940D-253A3407AF24}</x:author>
    <x:author>tc={60F95891-594C-4F78-9F79-39DCDB7C8D7A}</x:author>
    <x:author>tc={AC915DDC-F7C0-4167-AC50-32A951C85312}</x:author>
    <x:author>tc={76F830D2-B112-4B9F-B1D6-F805C99922FC}</x:author>
    <x:author>tc={95A7311D-FA8E-4B9A-A44F-37191726F4AF}</x:author>
    <x:author>tc={F528DE82-9DF0-41E1-A733-4D68E425D096}</x:author>
    <x:author>tc={FEE1BAF1-EF62-4DD7-9137-0C95E2AC4C62}</x:author>
    <x:author>tc={E7915B02-B609-4285-A7FC-092F241B45B5}</x:author>
    <x:author>tc={FB22CC4A-6720-4A90-B232-13088DC2A665}</x:author>
    <x:author>tc={9C8AC854-930F-418B-B10E-8D1DBCC191F2}</x:author>
    <x:author>tc={B460E999-37D1-4CD7-AFC2-4985710ACFD5}</x:author>
    <x:author>tc={FB19E5D7-1B4E-4A5B-86D7-B1AA23E5FCFC}</x:author>
    <x:author>tc={9058BD93-430A-431B-886C-9A4F19BBA3D2}</x:author>
    <x:author>tc={9C180493-AABB-4B91-A9AA-09B5F7627B98}</x:author>
    <x:author>tc={7122B149-84C7-4533-91A9-121B33BD2BB0}</x:author>
    <x:author>tc={F44AADBF-964B-460C-9322-ABC03A9EDB58}</x:author>
    <x:author>tc={4B656B23-E729-4BDF-B8D2-EF6CB30D6154}</x:author>
    <x:author>tc={06D771BB-DB19-4ADF-824D-A24BA63350FC}</x:author>
    <x:author>tc={49CF4BF3-4021-4AEF-A012-C64E67B39B5F}</x:author>
    <x:author>tc={92731F40-E21C-49DA-B050-60028E5158D4}</x:author>
    <x:author>tc={848EC7D1-27EF-4739-977E-AF9534B53769}</x:author>
    <x:author>tc={77F513D3-29E2-4707-B412-DF96757AD4F9}</x:author>
    <x:author>tc={2CFEAE2F-9CC3-4F12-81E0-C9FAAF7448C0}</x:author>
    <x:author>tc={49F2188A-07C8-42EE-B103-7574446B6774}</x:author>
    <x:author>tc={8705414B-3BEF-4FFD-A063-8FEAF96952C3}</x:author>
    <x:author>tc={DFF262ED-6C1E-462D-930D-1700E90C6795}</x:author>
    <x:author>tc={53DCF9A0-A16B-4331-BF80-2648FD8A8FD8}</x:author>
    <x:author>tc={B28F53C0-486E-4323-9EA4-4239ECCB1D31}</x:author>
    <x:author>tc={9816D617-9022-43F6-8D80-90CA65AB6A3C}</x:author>
    <x:author>tc={6E52B917-909F-4B01-82CC-F53A3361CC00}</x:author>
    <x:author>tc={E0CA5B2D-58E4-4042-9D22-89F520C12D79}</x:author>
    <x:author>tc={852D9A22-5ED4-4297-B476-95E962AFBE14}</x:author>
    <x:author>tc={7F4FAF32-8D8D-4DD7-AB86-CAD2AFB66E57}</x:author>
    <x:author>tc={DC28E265-D571-4CE3-88AE-F1319DF25AB9}</x:author>
    <x:author>tc={82766DE5-8A90-485E-88AC-8C18E46C8E32}</x:author>
    <x:author>tc={996A2051-7D91-4685-B885-C14759D71C47}</x:author>
    <x:author>tc={60F69169-1E74-44E0-967C-168C528EB13C}</x:author>
    <x:author>tc={2018AB70-4E29-4DD6-8905-3F3A266C16A1}</x:author>
    <x:author>tc={FECCCA5B-FBEF-4ED7-A7CE-818B9B715666}</x:author>
    <x:author>tc={0A238D02-B5B2-481E-8E9A-1DB03A35A15D}</x:author>
    <x:author>tc={98F88CE0-B5FB-48CF-97EF-83E5721978DD}</x:author>
    <x:author>tc={387C1376-44DE-4733-882C-7D153DA2E3A3}</x:author>
    <x:author>tc={0B9183E6-955A-4D5F-9D63-69147657C5EF}</x:author>
    <x:author>tc={B4DE6BC0-661B-400E-9A00-AFB7BA55A893}</x:author>
    <x:author>tc={63A6945A-2160-4619-89C7-0DB4C638DD35}</x:author>
    <x:author>tc={7EC18440-F69C-46A5-9F9C-F09755AB2C1C}</x:author>
    <x:author>tc={DF9DC8F2-5BD1-4FD2-AADB-7732C5CD8BE9}</x:author>
    <x:author>tc={C832E1B3-2654-4688-856A-456B2BD870EB}</x:author>
    <x:author>tc={845C8A25-B55D-474B-9D95-8586253BE882}</x:author>
    <x:author>tc={C9CE45F5-622D-4530-BF4D-D5D1FE0AAC67}</x:author>
    <x:author>tc={BE612031-8B71-46E1-A677-3948A2DD5DF6}</x:author>
    <x:author>tc={181FF860-3A88-4592-88AD-05DE35CE76F5}</x:author>
    <x:author>tc={C2A2B71A-7EE4-43A9-A68C-97B0C465C984}</x:author>
    <x:author>tc={FCD37828-12AE-4502-954E-85EAFDDAE799}</x:author>
    <x:author>tc={74A1B556-4C20-4703-BBDC-A825C3DCA3DC}</x:author>
    <x:author>tc={C5E0A99D-292B-4CC3-BC82-F97CDC19E7AF}</x:author>
    <x:author>tc={4511C223-3D88-4324-943F-05DE5965E9EF}</x:author>
    <x:author>tc={F2B55574-73A0-4E99-8920-D1BE545CEADA}</x:author>
    <x:author>tc={E3AA4A42-8EC5-48B7-9983-E3F1D1ED6532}</x:author>
    <x:author>tc={DF7C1280-7242-4023-80F8-B1C236449BA9}</x:author>
    <x:author>tc={1A9D1B19-4DBE-42A0-A1BB-798F398907EA}</x:author>
    <x:author>tc={A10DA57A-3BAB-41C8-AA2B-2122630CC187}</x:author>
    <x:author>tc={A14AC5B1-D683-41B4-9760-95995468839E}</x:author>
    <x:author>tc={E6FDC7DB-84F2-4F89-B243-3103DDA89E98}</x:author>
    <x:author>tc={5FA5B884-9E53-42E0-8EE7-C8F751ECBEA0}</x:author>
    <x:author>tc={3FA8A3EB-D5A3-4B20-A182-B149E18CB7FD}</x:author>
    <x:author>tc={394BE311-AC96-4C0A-8C2F-887C6002D72B}</x:author>
    <x:author>tc={7D7275BD-80F8-4DE6-96B3-A9FE89EEA0CF}</x:author>
    <x:author>tc={705C259E-8F78-428E-B61B-7E23E3ACC551}</x:author>
    <x:author>tc={0C7483C1-ACA7-4BED-97EA-643A5D854CBD}</x:author>
    <x:author>tc={4D5D516E-BFA3-4A7E-B630-20AFE0D4215D}</x:author>
    <x:author>tc={459AC59F-8298-4953-BC65-8DA104CDC31F}</x:author>
    <x:author>tc={FFBD6B58-FA23-4D66-9523-85EC12DD399D}</x:author>
    <x:author>tc={300D38E4-925C-44CB-8B98-07BF468177A7}</x:author>
    <x:author>tc={B28BC655-9591-4BC3-9BDE-5354C746FE95}</x:author>
    <x:author>tc={DCA8D290-6DD4-4005-89CA-7BDAD259278E}</x:author>
    <x:author>tc={29124994-5B83-4587-9C01-08EA2561CC5E}</x:author>
    <x:author>tc={3F5A6853-8DF5-4812-9AC0-795EAF07336A}</x:author>
    <x:author>tc={5B57672A-4620-425B-9BA1-6FD78DF3B9AA}</x:author>
    <x:author>tc={B100EF82-E684-464A-836C-7119DA64B9E1}</x:author>
    <x:author>tc={CA61C48A-291F-4C6F-B1F8-58A03E711BE8}</x:author>
    <x:author>tc={F28C6C7A-76C4-4BFA-B356-278551D0787E}</x:author>
    <x:author>tc={44466051-0B5B-4BAB-8107-2CFECE3F5498}</x:author>
    <x:author>tc={3BFE885A-F293-47EC-87AC-F97A23291813}</x:author>
    <x:author>tc={6BF2C1D8-FDC3-4F6C-A213-AD6F79D805F0}</x:author>
    <x:author>tc={FCB945FC-1D22-40D8-9FEC-10543EC0859C}</x:author>
    <x:author>tc={F6DB4947-A6BF-4EF4-A5A1-3FC6F8213885}</x:author>
    <x:author>tc={D441C1B3-C4C1-433F-8780-7124C582132A}</x:author>
    <x:author>tc={8EB4E56E-7752-4001-A88E-5EF61A6982CF}</x:author>
    <x:author>tc={25467E83-2EE4-4D03-9C57-CC801D4C9A69}</x:author>
    <x:author>tc={24D82B9B-80D4-414F-B947-D190283E8F12}</x:author>
    <x:author>tc={2A276CAC-48D2-4A05-A67B-BDF497A01974}</x:author>
    <x:author>tc={949CD26B-9B55-4D6C-8106-20715CBE53D5}</x:author>
    <x:author>tc={E9D35F43-1D40-43A6-9215-EBBBB2F69E79}</x:author>
    <x:author>tc={2C22667C-38DE-459F-94A4-F5E01151AB1F}</x:author>
    <x:author>tc={4DA5C470-45DA-4DFD-B474-1E0556F79DF2}</x:author>
    <x:author>tc={28465B0C-95AD-45AC-B426-AEE0E871063A}</x:author>
    <x:author>tc={69A424DE-5ECA-402A-A31E-7C3205CADF9C}</x:author>
    <x:author>tc={C8DD3865-59BA-4776-8FF0-31713684651B}</x:author>
    <x:author>tc={462286B0-EABB-48D7-8E4E-09C54901E22F}</x:author>
    <x:author>tc={F0CF19B1-2051-4B7D-8178-BD3BA8D72671}</x:author>
    <x:author>tc={22962F43-7F69-464C-B2C5-A782B78AF582}</x:author>
    <x:author>tc={35912F44-22DF-4D4F-9A8F-44719D6442F4}</x:author>
    <x:author>tc={51901AEE-6B95-40B9-84F2-1449984262AD}</x:author>
    <x:author>tc={D698E4FF-ABD8-4867-8859-BDF60EAC2E27}</x:author>
    <x:author>tc={B5C73332-99E5-44F1-9D90-8BE2FA2768BC}</x:author>
    <x:author>tc={6EC716FB-D4F7-43D7-A722-F09C95823E81}</x:author>
    <x:author>tc={9BCB135D-6DE0-4BC1-857A-B6144E59B952}</x:author>
    <x:author>tc={9D3ABD58-530A-42E0-BCA6-835AD3E69734}</x:author>
    <x:author>tc={294A057F-B2EB-49A5-989E-A70F3664562B}</x:author>
    <x:author>tc={A34E647E-368B-421A-AEA5-E8496DA8B539}</x:author>
    <x:author>tc={45A025C7-A302-4455-B237-01C187B904A9}</x:author>
    <x:author>tc={CF49B1CB-6DF2-4E2C-8924-6B1DC2340628}</x:author>
    <x:author>tc={6790A9AD-D0BC-4EB2-8119-BAE38FCC0C21}</x:author>
    <x:author>tc={D55F79A6-E2F1-4B1E-B129-1145D6940F74}</x:author>
    <x:author>tc={9A87CC3F-6C40-4384-A6AF-C433E8B3A842}</x:author>
    <x:author>tc={7F8A5ABC-3A07-40CB-B2A7-8879E5837C86}</x:author>
    <x:author>tc={9C7B7306-970A-4E87-B3EB-8EC273D57188}</x:author>
    <x:author>tc={92474FAA-CCD1-4DD9-A22F-F5DA99DAC083}</x:author>
    <x:author>tc={5505FAB5-EB4B-4DD8-92C4-0E6286E0B4F6}</x:author>
    <x:author>tc={C065CC3D-7C8B-43E0-958E-8611D9523BAF}</x:author>
    <x:author>tc={45E017D5-4DB8-412C-A582-FF611FDE7F5E}</x:author>
    <x:author>tc={5AACE94D-B5C0-4EC9-9AE5-868B38F312A6}</x:author>
    <x:author>tc={BCEB6555-9DA6-4ED5-9E66-187B7597362A}</x:author>
    <x:author>tc={16695CDC-EDD6-483D-9C7A-B76F4504A457}</x:author>
    <x:author>tc={49A3A87E-B4BC-4713-80B4-CC2E11BC2D35}</x:author>
    <x:author>tc={6D978448-B6E1-4779-BBDC-054D8DFEF20B}</x:author>
    <x:author>tc={0E19887B-3CBD-423E-B90D-6A4A4B8BEEFE}</x:author>
    <x:author>tc={16E58226-23D1-42FD-9C6D-BB38C0DD1C28}</x:author>
    <x:author>tc={77CCEABB-DDF6-40E3-B071-D0ED4F22F913}</x:author>
    <x:author>tc={BD756519-690D-428A-95B8-19DBD0092C90}</x:author>
    <x:author>tc={FE31C41C-9F6F-4648-ABC2-9C1C2F0503E9}</x:author>
    <x:author>tc={C8054085-F8EC-4AB9-BD9B-299B4EDCCFF4}</x:author>
    <x:author>tc={E7D9DD3E-4B74-47EB-B84F-2883DF0B065E}</x:author>
    <x:author>tc={5C045C40-226D-4AE8-B240-FFF39FA00DDB}</x:author>
    <x:author>tc={3975EF12-93C2-406F-8016-FD1B2EDA04C0}</x:author>
    <x:author>tc={B01B3E09-907D-4221-996B-2B75FDAFD7C8}</x:author>
    <x:author>tc={4ACC3201-EDA5-45EE-BADC-A30B0CCE9BA4}</x:author>
    <x:author>tc={50087561-1B31-4946-8A2B-814239F6F598}</x:author>
    <x:author>tc={D19D49E1-EF3D-4B6F-9779-B4F70369FA4C}</x:author>
    <x:author>tc={F83B69D2-66BE-41A0-B454-02167939DBD9}</x:author>
    <x:author>tc={09F3D790-AC3F-4143-983A-1B60A14BD342}</x:author>
    <x:author>tc={8E4976D2-06AE-410B-B574-A6EB6F76F718}</x:author>
    <x:author>tc={ADD9F071-F4C9-412A-A065-2FDA79C757F9}</x:author>
    <x:author>tc={5EEDC709-998C-419B-B053-65BD93A8EB6B}</x:author>
    <x:author>tc={223CD6F7-2A53-465E-88BC-B937FE5009DE}</x:author>
    <x:author>tc={F4E48961-6865-4004-BFAA-3E8B1AD7E5BE}</x:author>
    <x:author>tc={FB73BB6A-E2C4-464B-A0E5-84DA3C62688F}</x:author>
    <x:author>tc={D1988D8A-49A2-4A96-8A84-0F22F362CC2D}</x:author>
    <x:author>tc={081F17D0-4855-4B76-BD8D-34E3F9747514}</x:author>
    <x:author>tc={CDD103D8-732D-45CD-A6FF-1F1BFB91E1E7}</x:author>
    <x:author>tc={68957FF4-E76F-44B3-998B-484FFB19D68B}</x:author>
    <x:author>tc={F086696B-6333-4CD5-94E6-F8AE39E3ED72}</x:author>
    <x:author>tc={A599715B-AFC1-4611-90AA-3AB75564906F}</x:author>
    <x:author>tc={C6C114A3-E0DE-4158-9FAD-0D91CAC75230}</x:author>
    <x:author>tc={318D12C9-2DF5-450A-B905-37B46E5301C1}</x:author>
    <x:author>tc={3CA6FF1D-79BA-4C37-B81C-1EC093A51C9A}</x:author>
    <x:author>tc={2E65B9DA-BE0B-4F30-AD0A-2B51366AB4B3}</x:author>
    <x:author>tc={DC49D7BF-9595-45BB-B1F6-255825F2776A}</x:author>
    <x:author>tc={DA271FC7-6EE2-4FF7-84A0-699887C7F3BE}</x:author>
    <x:author>tc={5BC24D08-D566-4AA8-980D-752A4B6A2AAA}</x:author>
    <x:author>tc={807DA047-08C5-40B4-B2B9-63D65F45AA05}</x:author>
    <x:author>tc={5E484B58-9597-40C3-8178-BD1AFBFD0335}</x:author>
    <x:author>tc={78488241-8595-4161-B028-EDC9F6C680E1}</x:author>
    <x:author>tc={72A4469B-7E36-4587-B4DC-95B447B30EA6}</x:author>
    <x:author>tc={93E616F8-78C8-4A10-81DD-D7F24DDA5D3F}</x:author>
    <x:author>tc={8CB863C3-FDD7-4F07-9C54-7AC28CC6720B}</x:author>
    <x:author>tc={5A03A68A-1A66-49B8-856E-D03CE858BC68}</x:author>
    <x:author>tc={E4F43060-4890-427D-B781-16719DE54AE8}</x:author>
    <x:author>tc={D62A10FD-618C-43D1-AF53-F367779CA08B}</x:author>
    <x:author>tc={A1F5150F-48DB-4A2B-81B8-180B1CDC407A}</x:author>
    <x:author>tc={029AE716-B296-436D-81FB-5DCE370A1393}</x:author>
    <x:author>tc={9BE2AE95-A067-4708-A409-98521F4D337F}</x:author>
    <x:author>tc={2AA3A845-A93D-4F8B-94A5-5477CD4973D1}</x:author>
    <x:author>tc={3AA896BB-07A6-4150-B26F-0179ABA548F2}</x:author>
    <x:author>tc={5D7BA8AB-9A0C-41B1-AABF-3637FE88C18E}</x:author>
    <x:author>tc={112E7F0D-F55B-474E-B9B0-587C565B6051}</x:author>
    <x:author>tc={3555CB75-9578-4800-899C-8A52732A9802}</x:author>
    <x:author>tc={CE245484-AD31-4872-9871-0FA764816F44}</x:author>
    <x:author>tc={3837451C-9A87-49DB-A884-4D28BD37513E}</x:author>
    <x:author>tc={4432397F-914F-4065-8F02-30302910C068}</x:author>
    <x:author>tc={0A076546-AFD0-463A-80A3-0B41C13792DE}</x:author>
    <x:author>tc={014EF8F3-4198-4C8E-AC6D-0B88349A2D38}</x:author>
    <x:author>tc={731CAFF8-970F-4CD2-B8E9-1C6BDB9A3F82}</x:author>
    <x:author>tc={924146ED-524B-4D8A-A9C5-06C8544F06DA}</x:author>
    <x:author>tc={7BC92919-D730-49BE-83B0-36F4B0584123}</x:author>
    <x:author>tc={E9460093-E0E4-416B-925B-F7E7CCF75355}</x:author>
    <x:author>tc={66DA6B32-075E-46E5-BC11-EEC709448F8F}</x:author>
    <x:author>tc={F884D813-77D6-437B-B77C-599E9FACC56A}</x:author>
    <x:author>tc={5F3837CE-DE37-46A4-986B-87365491BA3F}</x:author>
    <x:author>tc={06FAFE1E-E641-4B60-8752-35AFB51C9833}</x:author>
    <x:author>tc={37CF17DE-86A2-43B3-A98C-00C62E5D097E}</x:author>
    <x:author>tc={1213D623-7F55-4468-8A69-776B58398B31}</x:author>
    <x:author>tc={6D15FD18-B863-459F-ABB4-784956A344E3}</x:author>
    <x:author>tc={8B0315EB-E984-4BBB-8E7E-F28AB5A1EE50}</x:author>
    <x:author>tc={B6898A44-295B-40D5-A0B5-33EC0B4BD504}</x:author>
    <x:author>tc={03E695AA-0615-44C9-9CC8-4AA490F1F7D0}</x:author>
    <x:author>tc={5F773C1A-0A50-4D9F-A142-A5DCAA1F5EEB}</x:author>
    <x:author>tc={8BA39D09-9E93-4CFB-8EB7-A676CB208FAC}</x:author>
    <x:author>tc={3C4F5E00-058C-4558-8950-EEE8976338C8}</x:author>
    <x:author>tc={1C44ED5C-6560-4070-A1B5-26BE391C57FE}</x:author>
    <x:author>tc={53AD38D2-A43A-4E1B-9556-D9E4A3D37FF7}</x:author>
    <x:author>tc={66537D2E-22B7-412A-A1D6-DF21A913F5F0}</x:author>
    <x:author>tc={BE2CA243-998A-4FBD-9704-EC8EF30A5B11}</x:author>
    <x:author>tc={A8E62CB2-5401-4628-B9DC-E45E245794A5}</x:author>
    <x:author>tc={D4A66783-BDCA-4E52-8076-64BE2A887D01}</x:author>
    <x:author>tc={E10AEF70-B57C-45F0-A153-7BEE69F073C4}</x:author>
    <x:author>tc={B2E00C37-DC23-4E9D-A8E0-DE330E933FE1}</x:author>
    <x:author>tc={AE54757D-6564-4902-B6CC-95628505924F}</x:author>
    <x:author>tc={B78C9333-008F-41F2-A88E-3367654748F4}</x:author>
    <x:author>tc={152DFBC7-F7D1-4EF7-923E-5DF47FAA91DF}</x:author>
    <x:author>tc={E625DB85-58A5-4868-857A-E97001D4A710}</x:author>
    <x:author>tc={413DA3AA-FC10-4F1E-BDDC-C15FE91C820D}</x:author>
    <x:author>tc={F16DC8F0-E6CD-4C13-B292-F6843B6DCB83}</x:author>
    <x:author>tc={B5DC30D1-A13D-4E29-96F6-00B82A2919D4}</x:author>
    <x:author>tc={F61B8255-FF08-472E-92C9-1F030351337D}</x:author>
    <x:author>tc={7FF679BB-0C23-4A38-A425-BE909870ED73}</x:author>
    <x:author>tc={57873556-87E6-4FBF-88A7-F9A7EF5BB2C9}</x:author>
    <x:author>tc={A88C84E0-2145-45AE-88D7-457FE0E36D32}</x:author>
    <x:author>tc={EE3FEDA5-899F-420D-9210-E533A1EF25CF}</x:author>
    <x:author>tc={A186E7C5-FD90-4D22-98A0-7B5E93B34857}</x:author>
    <x:author>tc={6033BB9B-B540-44EF-A39D-9594D284CCCA}</x:author>
    <x:author>tc={FC87AC73-D92B-4273-9F35-3930BE914532}</x:author>
    <x:author>tc={156E0F3F-E4A2-4265-8D53-54647D535365}</x:author>
    <x:author>tc={F973729E-AF08-4502-8670-9CEB98BF1559}</x:author>
    <x:author>tc={A4B3A89C-41BB-4C7C-BD33-8D91459C2877}</x:author>
    <x:author>tc={E04BDA13-A609-4891-BC3F-A04D362698A9}</x:author>
    <x:author>tc={FEA675C8-FEBC-4F81-8647-D11B5F41B247}</x:author>
    <x:author>tc={C55823B2-8A01-46D4-9F45-F86E1327DA3C}</x:author>
    <x:author>tc={5E459B48-EB88-4D7B-8014-FC171CD2C629}</x:author>
    <x:author>tc={FE4780C8-0FA3-4E65-B512-A63E428E653B}</x:author>
    <x:author>tc={8DBC353D-1472-4F27-9FF7-BA591C9F7CF3}</x:author>
    <x:author>tc={C402A3AF-D222-412C-9165-1A7E52EE084B}</x:author>
    <x:author>tc={60CADF10-C8AF-4720-A9B1-B4B7BDB554AB}</x:author>
    <x:author>tc={38573C07-5392-4907-AB3E-AA3EAD840652}</x:author>
    <x:author>tc={5FC212DD-37E3-416E-AF65-43D24F3CC390}</x:author>
    <x:author>tc={6681CE9D-31CB-4C96-B8B5-C257B81121FF}</x:author>
  </x:authors>
  <x:commentList>
    <x:comment ref="H13" authorId="0">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I13" authorId="1">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J13" authorId="2">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K13" authorId="3">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L13" authorId="4">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M13" authorId="5">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N13" authorId="6">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O13" authorId="7">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H15" authorId="8">
      <x:text>
        <x:r>
          <x: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x:t>
        </x:r>
      </x:text>
    </x:comment>
    <x:comment ref="I15" authorId="9">
      <x:text>
        <x:r>
          <x: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x:t>
        </x:r>
      </x:text>
    </x:comment>
    <x:comment ref="J15" authorId="10">
      <x:text>
        <x:r>
          <x: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x:t>
        </x:r>
      </x:text>
    </x:comment>
    <x:comment ref="K15" authorId="11">
      <x:text>
        <x:r>
          <x: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x:t>
        </x:r>
      </x:text>
    </x:comment>
    <x:comment ref="D26" authorId="12">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E26" authorId="13">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F26" authorId="14">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G26" authorId="15">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H26" authorId="16">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I26" authorId="17">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J26" authorId="18">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K26" authorId="19">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L26" authorId="20">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M26" authorId="21">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N26" authorId="22">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O26" authorId="23">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P26" authorId="24">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Q26" authorId="25">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D27" authorId="26">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E27" authorId="27">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F27" authorId="28">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G27" authorId="29">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H27" authorId="30">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I27" authorId="31">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J27" authorId="32">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K27" authorId="33">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L27" authorId="34">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M27" authorId="35">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N27" authorId="36">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O27" authorId="37">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P27" authorId="38">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Q27" authorId="39">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R27" authorId="40">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S27" authorId="41">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T27" authorId="42">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U27" authorId="43">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V27" authorId="44">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W27" authorId="45">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D28" authorId="46">
      <x:text>
        <x:r>
          <x: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x:t>
        </x:r>
      </x:text>
    </x:comment>
    <x:comment ref="E28" authorId="47">
      <x:text>
        <x:r>
          <x: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x:t>
        </x:r>
      </x:text>
    </x:comment>
    <x:comment ref="F28" authorId="48">
      <x:text>
        <x:r>
          <x:t>[Threaded comment]
Your version of Excel allows you to read this threaded comment; however, any edits to it will get removed if the file is opened in a newer version of Excel. Learn more: https://go.microsoft.com/fwlink/?linkid=870924
Comment:
    Estimated quarter: 10% of reported FY less H1 performance fees under the editable allocation assumption. Includes earned carried interest where classified in this fee stream; no separate quarterly split is disclosed.</x:t>
        </x:r>
      </x:text>
    </x:comment>
    <x:comment ref="G28" authorId="49">
      <x:text>
        <x:r>
          <x:t>[Threaded comment]
Your version of Excel allows you to read this threaded comment; however, any edits to it will get removed if the file is opened in a newer version of Excel. Learn more: https://go.microsoft.com/fwlink/?linkid=870924
Comment:
    Estimated quarter: 90% of reported FY less H1 performance fees under the editable allocation assumption. Includes earned carried interest where classified in this fee stream; no separate quarterly split is disclosed.</x:t>
        </x:r>
      </x:text>
    </x:comment>
    <x:comment ref="H28" authorId="50">
      <x:text>
        <x:r>
          <x: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x:t>
        </x:r>
      </x:text>
    </x:comment>
    <x:comment ref="I28" authorId="51">
      <x:text>
        <x:r>
          <x: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x:t>
        </x:r>
      </x:text>
    </x:comment>
    <x:comment ref="J28" authorId="52">
      <x:text>
        <x:r>
          <x:t>[Threaded comment]
Your version of Excel allows you to read this threaded comment; however, any edits to it will get removed if the file is opened in a newer version of Excel. Learn more: https://go.microsoft.com/fwlink/?linkid=870924
Comment:
    Estimated quarter: 10% of reported FY less H1 performance fees under the editable allocation assumption. Includes earned carried interest where classified in this fee stream; no separate quarterly split is disclosed.</x:t>
        </x:r>
      </x:text>
    </x:comment>
    <x:comment ref="K28" authorId="53">
      <x:text>
        <x:r>
          <x:t>[Threaded comment]
Your version of Excel allows you to read this threaded comment; however, any edits to it will get removed if the file is opened in a newer version of Excel. Learn more: https://go.microsoft.com/fwlink/?linkid=870924
Comment:
    Estimated quarter: 90% of reported FY less H1 performance fees under the editable allocation assumption. Includes earned carried interest where classified in this fee stream; no separate quarterly split is disclosed.</x:t>
        </x:r>
      </x:text>
    </x:comment>
    <x:comment ref="L28" authorId="54">
      <x:text>
        <x:r>
          <x: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x:t>
        </x:r>
      </x:text>
    </x:comment>
    <x:comment ref="M28" authorId="55">
      <x:text>
        <x:r>
          <x: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x:t>
        </x:r>
      </x:text>
    </x:comment>
    <x:comment ref="N28" authorId="56">
      <x:text>
        <x:r>
          <x:t>[Threaded comment]
Your version of Excel allows you to read this threaded comment; however, any edits to it will get removed if the file is opened in a newer version of Excel. Learn more: https://go.microsoft.com/fwlink/?linkid=870924
Comment:
    Estimated quarter: 10% of reported FY less H1 performance fees under the editable allocation assumption. Includes earned carried interest where classified in this fee stream; no separate quarterly split is disclosed.</x:t>
        </x:r>
      </x:text>
    </x:comment>
    <x:comment ref="O28" authorId="57">
      <x:text>
        <x:r>
          <x:t>[Threaded comment]
Your version of Excel allows you to read this threaded comment; however, any edits to it will get removed if the file is opened in a newer version of Excel. Learn more: https://go.microsoft.com/fwlink/?linkid=870924
Comment:
    Estimated quarter: 90% of reported FY less H1 performance fees under the editable allocation assumption. Includes earned carried interest where classified in this fee stream; no separate quarterly split is disclosed.</x:t>
        </x:r>
      </x:text>
    </x:comment>
    <x:comment ref="P28" authorId="58">
      <x:text>
        <x:r>
          <x: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x:t>
        </x:r>
      </x:text>
    </x:comment>
    <x:comment ref="Q28" authorId="59">
      <x:text>
        <x:r>
          <x: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x:t>
        </x:r>
      </x:text>
    </x:comment>
    <x:comment ref="D29" authorId="6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29" authorId="6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29" authorId="62">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29" authorId="63">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29" authorId="6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29" authorId="6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29" authorId="6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29" authorId="6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29" authorId="6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29" authorId="6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29" authorId="7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29" authorId="7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29" authorId="7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29" authorId="7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30" authorId="7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30" authorId="7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30" authorId="7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30" authorId="7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30" authorId="7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30" authorId="7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30" authorId="8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30" authorId="8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30" authorId="8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30" authorId="8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30" authorId="8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30" authorId="8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30" authorId="8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30" authorId="8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34" authorId="8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34" authorId="8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34" authorId="9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34" authorId="9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34" authorId="9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34" authorId="9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34" authorId="9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34" authorId="9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34" authorId="9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34" authorId="9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34" authorId="98">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34" authorId="99">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34" authorId="10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34" authorId="10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35" authorId="102">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E35" authorId="103">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F35" authorId="104">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G35" authorId="105">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H35" authorId="106">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I35" authorId="107">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J35" authorId="108">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K35" authorId="109">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L35" authorId="110">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M35" authorId="111">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N35" authorId="112">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O35" authorId="113">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P35" authorId="114">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Q35" authorId="115">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D36" authorId="116">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E36" authorId="117">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F36" authorId="118">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G36" authorId="119">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H36" authorId="120">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I36" authorId="121">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J36" authorId="122">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K36" authorId="123">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L36" authorId="124">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M36" authorId="125">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N36" authorId="126">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O36" authorId="127">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P36" authorId="128">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Q36" authorId="129">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D37" authorId="130">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E37" authorId="131">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F37" authorId="132">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G37" authorId="133">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H37" authorId="134">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I37" authorId="135">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J37" authorId="136">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K37" authorId="137">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L37" authorId="138">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M37" authorId="139">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N37" authorId="140">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O37" authorId="141">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P37" authorId="142">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Q37" authorId="143">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D39" authorId="144">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E39" authorId="145">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F39" authorId="146">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G39" authorId="147">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H39" authorId="148">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I39" authorId="149">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J39" authorId="150">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K39" authorId="151">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L39" authorId="152">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M39" authorId="153">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N39" authorId="154">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O39" authorId="155">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P39" authorId="156">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Q39" authorId="157">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D40" authorId="15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0" authorId="15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0" authorId="16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0" authorId="16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0" authorId="16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0" authorId="16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0" authorId="16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0" authorId="16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0" authorId="16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0" authorId="16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0" authorId="168">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0" authorId="169">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0" authorId="17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0" authorId="17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41" authorId="17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1" authorId="17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1" authorId="17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1" authorId="17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1" authorId="17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1" authorId="17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1" authorId="178">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1" authorId="179">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1" authorId="18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1" authorId="18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1" authorId="182">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1" authorId="183">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1" authorId="18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1" authorId="18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47" authorId="18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7" authorId="18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7" authorId="188">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7" authorId="189">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7" authorId="19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7" authorId="19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7" authorId="192">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7" authorId="193">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7" authorId="19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7" authorId="19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7" authorId="19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7" authorId="19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7" authorId="19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7" authorId="19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48" authorId="20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8" authorId="20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8" authorId="202">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8" authorId="203">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8" authorId="20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8" authorId="20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8" authorId="20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8" authorId="20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8" authorId="20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8" authorId="20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8" authorId="21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8" authorId="21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8" authorId="21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8" authorId="21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49" authorId="21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9" authorId="21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9" authorId="21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9" authorId="21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9" authorId="21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9" authorId="21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9" authorId="22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9" authorId="22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9" authorId="22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9" authorId="22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9" authorId="22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9" authorId="22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9" authorId="22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9" authorId="22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54" authorId="228">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E54" authorId="229">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F54" authorId="230">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G54" authorId="231">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H54" authorId="232">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I54" authorId="233">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J54" authorId="234">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K54" authorId="235">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L54" authorId="236">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M54" authorId="237">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N54" authorId="238">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O54" authorId="239">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P54" authorId="240">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Q54" authorId="241">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D56" authorId="242">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E56" authorId="243">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F56" authorId="244">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G56" authorId="245">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H56" authorId="246">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I56" authorId="247">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J56" authorId="248">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K56" authorId="249">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L56" authorId="250">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M56" authorId="251">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N56" authorId="252">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O56" authorId="253">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P56" authorId="254">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Q56" authorId="255">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List>
</x:comments>
</file>

<file path=xl/comments3.xml><?xml version="1.0" encoding="utf-8"?>
<x:comments xmlns:x="http://schemas.openxmlformats.org/spreadsheetml/2006/main">
  <x:authors>
    <x:author>tc={5B28245C-6916-43F8-9366-B300F28ECD63}</x:author>
    <x:author>tc={59997010-A740-460A-A09C-FB9740706C2C}</x:author>
    <x:author>tc={83E9B1B0-D07B-430E-B6A5-5B11FA51F851}</x:author>
    <x:author>tc={4D73E011-4F2F-4537-86C5-9F9A5E128611}</x:author>
    <x:author>tc={3221CA3B-36E4-48E7-87C2-057DABF5CFA5}</x:author>
  </x:authors>
  <x:commentList>
    <x:comment ref="F14" authorId="0">
      <x:text>
        <x:r>
          <x:t>[Threaded comment]
Your version of Excel allows you to read this threaded comment; however, any edits to it will get removed if the file is opened in a newer version of Excel. Learn more: https://go.microsoft.com/fwlink/?linkid=870924
Comment:
    Varagon added $10.8bn fee-paying AUM in Q3 2023. Asteria was also acquired in 2023, but no separate material AUM amount is used. Source: FY2023 financial review and Q3 AUM bridge.</x:t>
        </x:r>
      </x:text>
    </x:comment>
    <x:comment ref="O14" authorId="1">
      <x:text>
        <x:r>
          <x:t>[Threaded comment]
Your version of Excel allows you to read this threaded comment; however, any edits to it will get removed if the file is opened in a newer version of Excel. Learn more: https://go.microsoft.com/fwlink/?linkid=870924
Comment:
    Bardin Hill completed 1 October 2025 and added $2.7bn. Remove this from the disclosed combined other bucket to avoid double counting. Source: FY2025 financial review.</x:t>
        </x:r>
      </x:text>
    </x:comment>
    <x:comment ref="J23" authorId="2">
      <x:text>
        <x:r>
          <x:t>[Threaded comment]
Your version of Excel allows you to read this threaded comment; however, any edits to it will get removed if the file is opened in a newer version of Excel. Learn more: https://go.microsoft.com/fwlink/?linkid=870924
Comment:
    Core performance fees exclude $19m of pass-through gross-up in H1 2026. Related compensation of $18m is also removed from core costs. The $1m net reclassification is excluded consistently with company core PBT. Carried interest is included in performance fees where earned; no separately disclosed earned carried-interest series is available.</x:t>
        </x:r>
      </x:text>
    </x:comment>
    <x:comment ref="I27" authorId="3">
      <x:text>
        <x:r>
          <x:t>[Threaded comment]
Your version of Excel allows you to read this threaded comment; however, any edits to it will get removed if the file is opened in a newer version of Excel. Learn more: https://go.microsoft.com/fwlink/?linkid=870924
Comment:
    FY2025 fixed compensation $274m is disclosed in note 6.1. Statutory variable compensation $433m includes $32m of non-core charges; core total compensation is $675m, so core variable compensation is $401m. The model separately uses the disclosed management/performance split of $481m/$194m.</x:t>
        </x:r>
      </x:text>
    </x:comment>
    <x:comment ref="D45" authorId="4">
      <x:text>
        <x:r>
          <x:t>[Threaded comment]
Your version of Excel allows you to read this threaded comment; however, any edits to it will get removed if the file is opened in a newer version of Excel. Learn more: https://go.microsoft.com/fwlink/?linkid=870924
Comment:
    n/d means no aggregate realised average fee margin was located in the H1 release. Run-rate margins are different metrics and are not substituted.</x:t>
        </x:r>
      </x:text>
    </x:comment>
  </x:commentList>
</x:comments>
</file>

<file path=xl/sharedStrings.xml><?xml version="1.0" encoding="utf-8"?>
<x:sst xmlns:x="http://schemas.openxmlformats.org/spreadsheetml/2006/main">
  <x:si>
    <x:t xml:space="preserve">Man Group | AUM to earnings</x:t>
  </x:si>
  <x:si>
    <x:t xml:space="preserve">Case selected</x:t>
  </x:si>
  <x:si>
    <x:t xml:space="preserve">2023–2025 history | H1 2026 actual | Q3 2026–2027 forecast | 14 Sep 2026</x:t>
  </x:si>
  <x:si>
    <x:t xml:space="preserve">H1:23</x:t>
  </x:si>
  <x:si>
    <x:t xml:space="preserve">FY:23</x:t>
  </x:si>
  <x:si>
    <x:t xml:space="preserve">H1:24</x:t>
  </x:si>
  <x:si>
    <x:t xml:space="preserve">FY:24</x:t>
  </x:si>
  <x:si>
    <x:t xml:space="preserve">H1:25</x:t>
  </x:si>
  <x:si>
    <x:t xml:space="preserve">FY:25</x:t>
  </x:si>
  <x:si>
    <x:t xml:space="preserve">H1:26</x:t>
  </x:si>
  <x:si>
    <x:t xml:space="preserve">FY:26</x:t>
  </x:si>
  <x:si>
    <x:t xml:space="preserve">H1:27</x:t>
  </x:si>
  <x:si>
    <x:t xml:space="preserve">FY:27</x:t>
  </x:si>
  <x:si>
    <x:t xml:space="preserve">Actual</x:t>
  </x:si>
  <x:si>
    <x:t xml:space="preserve">A + F</x:t>
  </x:si>
  <x:si>
    <x:t xml:space="preserve">Forecast</x:t>
  </x:si>
  <x:si>
    <x:t xml:space="preserve">Closing AUM, USD bn</x:t>
  </x:si>
  <x:si>
    <x:t xml:space="preserve">Net flows, USD bn</x:t>
  </x:si>
  <x:si>
    <x:t xml:space="preserve">Implied net fee margin, annual bp</x:t>
  </x:si>
  <x:si>
    <x:t xml:space="preserve">Net management fees, USD m</x:t>
  </x:si>
  <x:si>
    <x:t xml:space="preserve">Performance fees, USD m</x:t>
  </x:si>
  <x:si>
    <x:t xml:space="preserve">Seed gains, USD m</x:t>
  </x:si>
  <x:si>
    <x:t xml:space="preserve">Rental / other income, USD m</x:t>
  </x:si>
  <x:si>
    <x:t xml:space="preserve">Core net revenue, USD m</x:t>
  </x:si>
  <x:si>
    <x:t xml:space="preserve">Core operating costs, USD m</x:t>
  </x:si>
  <x:si>
    <x:t xml:space="preserve">Core operating profit, USD m</x:t>
  </x:si>
  <x:si>
    <x:t xml:space="preserve">Management-fee PBT, USD m</x:t>
  </x:si>
  <x:si>
    <x:t xml:space="preserve">Performance / seed PBT, USD m</x:t>
  </x:si>
  <x:si>
    <x:t xml:space="preserve">Core total PBT, USD m</x:t>
  </x:si>
  <x:si>
    <x:t xml:space="preserve">Core tax expense, USD m</x:t>
  </x:si>
  <x:si>
    <x:t xml:space="preserve">Core profit after tax, USD m</x:t>
  </x:si>
  <x:si>
    <x:t xml:space="preserve">Diluted weighted shares, m</x:t>
  </x:si>
  <x:si>
    <x:t xml:space="preserve">Core diluted EPS, US cents</x:t>
  </x:si>
  <x:si>
    <x:t xml:space="preserve">THESIS QUESTIONS | USE THE CASE SELECTOR</x:t>
  </x:si>
  <x:si>
    <x:t xml:space="preserve">Fee margin</x:t>
  </x:si>
  <x:si>
    <x:t xml:space="preserve">Base holds the 2025 average of 56bp; Downside uses 52bp, matching H1 2026.</x:t>
  </x:si>
  <x:si>
    <x:t xml:space="preserve">Flows</x:t>
  </x:si>
  <x:si>
    <x:t xml:space="preserve">Base +1% of opening AUM per quarter; Downside 0%; Upside +2%.</x:t>
  </x:si>
  <x:si>
    <x:t xml:space="preserve">Performance fees</x:t>
  </x:si>
  <x:si>
    <x:t xml:space="preserve">Base repeats allocated 2025 quarters; Zero PF removes forecast fees and their variable costs.</x:t>
  </x:si>
  <x:si>
    <x:t xml:space="preserve">Zero PF interpretation</x:t>
  </x:si>
  <x:si>
    <x:t xml:space="preserve">H1 2026 remains actual. FY2027 is the full-year zero-fee test; seed gains and funding stay.</x:t>
  </x:si>
  <x:si>
    <x:t xml:space="preserve">Quarterly evidence</x:t>
  </x:si>
  <x:si>
    <x:t xml:space="preserve">AUM is reported; quarterly financial flows are estimates tied to disclosed H1 and FY totals.</x:t>
  </x:si>
  <x:si>
    <x:t xml:space="preserve">2025 MIX | THE SAME AUM DOES NOT EARN THE SAME FEES</x:t>
  </x:si>
  <x:si>
    <x:t xml:space="preserve">Product category</x:t>
  </x:si>
  <x:si>
    <x:t xml:space="preserve">AUM share</x:t>
  </x:si>
  <x:si>
    <x:t xml:space="preserve">Fee share</x:t>
  </x:si>
  <x:si>
    <x:t xml:space="preserve">Fee margin, bp</x:t>
  </x:si>
  <x:si>
    <x:t xml:space="preserve">Absolute return</x:t>
  </x:si>
  <x:si>
    <x:t xml:space="preserve">Total return</x:t>
  </x:si>
  <x:si>
    <x:t xml:space="preserve">Multi-manager</x:t>
  </x:si>
  <x:si>
    <x:t xml:space="preserve">Systematic long-only</x:t>
  </x:si>
  <x:si>
    <x:t xml:space="preserve">Discretionary long-only</x:t>
  </x:si>
  <x:si>
    <x:t xml:space="preserve">Performance fees reflect hurdles, high-water marks and crystallisation; AUM returns do not mechanically imply fees.</x:t>
  </x:si>
  <x:si>
    <x:t xml:space="preserve">Year</x:t>
  </x:si>
  <x:si>
    <x:t xml:space="preserve">Mgmt PBT</x:t>
  </x:si>
  <x:si>
    <x:t xml:space="preserve">PF / seed PBT</x:t>
  </x:si>
  <x:si>
    <x:t xml:space="preserve">Total PBT</x:t>
  </x:si>
  <x:si>
    <x:t xml:space="preserve">Man Group | scenario controls</x:t>
  </x:si>
  <x:si>
    <x:t xml:space="preserve">Case number (1–4)</x:t>
  </x:si>
  <x:si>
    <x:t xml:space="preserve">1 Base | 2 Downside | 3 Upside | 4 Zero PF. Cases affect Q3 2026 onward only.</x:t>
  </x:si>
  <x:si>
    <x:t xml:space="preserve">Q1:23</x:t>
  </x:si>
  <x:si>
    <x:t xml:space="preserve">Q2:23</x:t>
  </x:si>
  <x:si>
    <x:t xml:space="preserve">Q3:23</x:t>
  </x:si>
  <x:si>
    <x:t xml:space="preserve">Q4:23</x:t>
  </x:si>
  <x:si>
    <x:t xml:space="preserve">Q1:24</x:t>
  </x:si>
  <x:si>
    <x:t xml:space="preserve">Q2:24</x:t>
  </x:si>
  <x:si>
    <x:t xml:space="preserve">Q3:24</x:t>
  </x:si>
  <x:si>
    <x:t xml:space="preserve">Q4:24</x:t>
  </x:si>
  <x:si>
    <x:t xml:space="preserve">Q1:25</x:t>
  </x:si>
  <x:si>
    <x:t xml:space="preserve">Q2:25</x:t>
  </x:si>
  <x:si>
    <x:t xml:space="preserve">Q3:25</x:t>
  </x:si>
  <x:si>
    <x:t xml:space="preserve">Q4:25</x:t>
  </x:si>
  <x:si>
    <x:t xml:space="preserve">Q1:26</x:t>
  </x:si>
  <x:si>
    <x:t xml:space="preserve">Q2:26</x:t>
  </x:si>
  <x:si>
    <x:t xml:space="preserve">Q3:26</x:t>
  </x:si>
  <x:si>
    <x:t xml:space="preserve">Q4:26</x:t>
  </x:si>
  <x:si>
    <x:t xml:space="preserve">Q1:27</x:t>
  </x:si>
  <x:si>
    <x:t xml:space="preserve">Q2:27</x:t>
  </x:si>
  <x:si>
    <x:t xml:space="preserve">Q3:27</x:t>
  </x:si>
  <x:si>
    <x:t xml:space="preserve">Q4:27</x:t>
  </x:si>
  <x:si>
    <x:t xml:space="preserve">Net flows / opening AUM</x:t>
  </x:si>
  <x:si>
    <x:t xml:space="preserve">Active selection</x:t>
  </x:si>
  <x:si>
    <x:t xml:space="preserve">Base</x:t>
  </x:si>
  <x:si>
    <x:t xml:space="preserve">Downside</x:t>
  </x:si>
  <x:si>
    <x:t xml:space="preserve">Upside</x:t>
  </x:si>
  <x:si>
    <x:t xml:space="preserve">Zero PF</x:t>
  </x:si>
  <x:si>
    <x:t xml:space="preserve">Investment return / opening AUM</x:t>
  </x:si>
  <x:si>
    <x:t xml:space="preserve">Net management-fee margin</x:t>
  </x:si>
  <x:si>
    <x:t xml:space="preserve">Performance-fee revenue, USD m</x:t>
  </x:si>
  <x:si>
    <x:t xml:space="preserve">QUARTERLY ALLOCATION AND BASE-YEAR CALIBRATION</x:t>
  </x:si>
  <x:si>
    <x:t xml:space="preserve">Q1 share of H1 performance fees</x:t>
  </x:si>
  <x:si>
    <x:t xml:space="preserve">Q3 share of H2 performance fees</x:t>
  </x:si>
  <x:si>
    <x:t xml:space="preserve">Equal-quarter allocation factor</x:t>
  </x:si>
  <x:si>
    <x:t xml:space="preserve">Base performance-fee multiplier</x:t>
  </x:si>
  <x:si>
    <x:t xml:space="preserve">Downside performance-fee multiplier</x:t>
  </x:si>
  <x:si>
    <x:t xml:space="preserve">Upside performance-fee multiplier</x:t>
  </x:si>
  <x:si>
    <x:t xml:space="preserve">Quarter fraction of year</x:t>
  </x:si>
  <x:si>
    <x:t xml:space="preserve">USD millions per USD billion</x:t>
  </x:si>
  <x:si>
    <x:t xml:space="preserve">FY2025 published average fee margin</x:t>
  </x:si>
  <x:si>
    <x:t xml:space="preserve">FY2025 management variable compensation ratio</x:t>
  </x:si>
  <x:si>
    <x:t xml:space="preserve">FY2025 PF / seed variable compensation ratio</x:t>
  </x:si>
  <x:si>
    <x:t xml:space="preserve">FY2025 servicing / average AUM, annual bp</x:t>
  </x:si>
  <x:si>
    <x:t xml:space="preserve">Fixed compensation, quarterly USD m</x:t>
  </x:si>
  <x:si>
    <x:t xml:space="preserve">Other fixed costs incl D&amp;A, quarterly USD m</x:t>
  </x:si>
  <x:si>
    <x:t xml:space="preserve">Core tax rate: FY2025 actual expense / PBT</x:t>
  </x:si>
  <x:si>
    <x:t xml:space="preserve">Diluted shares, FY2025 weighted average m</x:t>
  </x:si>
  <x:si>
    <x:t xml:space="preserve">Seed gains, quarterly USD m</x:t>
  </x:si>
  <x:si>
    <x:t xml:space="preserve">Rental / other income, quarterly USD m</x:t>
  </x:si>
  <x:si>
    <x:t xml:space="preserve">Basis points per unit rate</x:t>
  </x:si>
  <x:si>
    <x:t xml:space="preserve">US cents per US dollar</x:t>
  </x:si>
  <x:si>
    <x:t xml:space="preserve">Other employment, quarterly USD m</x:t>
  </x:si>
  <x:si>
    <x:t xml:space="preserve">Management finance expense, quarterly USD m</x:t>
  </x:si>
  <x:si>
    <x:t xml:space="preserve">PF / seed finance expense, quarterly USD m</x:t>
  </x:si>
  <x:si>
    <x:t xml:space="preserve">Management third-party share, quarterly USD m</x:t>
  </x:si>
  <x:si>
    <x:t xml:space="preserve">PF third-party profit share / fee revenue</x:t>
  </x:si>
  <x:si>
    <x:t xml:space="preserve">Forecast FX / acquisitions / other, USD bn</x:t>
  </x:si>
  <x:si>
    <x:t xml:space="preserve">Man Group | quarterly fee engine</x:t>
  </x:si>
  <x:si>
    <x:t xml:space="preserve">USD bn AUM | USD m income and costs | EPS US cents | core basis</x:t>
  </x:si>
  <x:si>
    <x:t xml:space="preserve">AUM A / P&amp;L E</x:t>
  </x:si>
  <x:si>
    <x:t xml:space="preserve">AUM | STOCK TO PERIOD REVENUE</x:t>
  </x:si>
  <x:si>
    <x:t xml:space="preserve">Opening fee-paying AUM</x:t>
  </x:si>
  <x:si>
    <x:t xml:space="preserve">Net flows</x:t>
  </x:si>
  <x:si>
    <x:t xml:space="preserve">Investment performance</x:t>
  </x:si>
  <x:si>
    <x:t xml:space="preserve">FX: allocated when annual split disclosed</x:t>
  </x:si>
  <x:si>
    <x:t xml:space="preserve">n/d</x:t>
  </x:si>
  <x:si>
    <x:t xml:space="preserve">Acquisitions</x:t>
  </x:si>
  <x:si>
    <x:t xml:space="preserve">Realisations: allocated when disclosed</x:t>
  </x:si>
  <x:si>
    <x:t xml:space="preserve">Other, including unseparated FX / exits</x:t>
  </x:si>
  <x:si>
    <x:t xml:space="preserve">Closing fee-paying AUM</x:t>
  </x:si>
  <x:si>
    <x:t xml:space="preserve">Average AUM: opening / closing midpoint</x:t>
  </x:si>
  <x:si>
    <x:t xml:space="preserve">Investment performance / opening AUM</x:t>
  </x:si>
  <x:si>
    <x:t xml:space="preserve">REVENUE | RECURRING FEES AND VARIABLE FEES</x:t>
  </x:si>
  <x:si>
    <x:t xml:space="preserve">Gross management fees: historical memo</x:t>
  </x:si>
  <x:si>
    <x:t xml:space="preserve">n/a</x:t>
  </x:si>
  <x:si>
    <x:t xml:space="preserve">Distribution costs: historical memo</x:t>
  </x:si>
  <x:si>
    <x:t xml:space="preserve">Net management-fee margin, annual bp</x:t>
  </x:si>
  <x:si>
    <x:t xml:space="preserve">Net management fees</x:t>
  </x:si>
  <x:si>
    <x:t xml:space="preserve">Performance fees / carried interest</x:t>
  </x:si>
  <x:si>
    <x:t xml:space="preserve">Seed investment gains</x:t>
  </x:si>
  <x:si>
    <x:t xml:space="preserve">Rental / other income</x:t>
  </x:si>
  <x:si>
    <x:t xml:space="preserve">Core net revenue</x:t>
  </x:si>
  <x:si>
    <x:t xml:space="preserve">COSTS | FIXED CAPACITY AND VARIABLE PARTICIPATION</x:t>
  </x:si>
  <x:si>
    <x:t xml:space="preserve">Fixed compensation</x:t>
  </x:si>
  <x:si>
    <x:t xml:space="preserve">Variable management compensation</x:t>
  </x:si>
  <x:si>
    <x:t xml:space="preserve">Variable performance-fee compensation</x:t>
  </x:si>
  <x:si>
    <x:t xml:space="preserve">Variable seed-gain compensation</x:t>
  </x:si>
  <x:si>
    <x:t xml:space="preserve">Total core compensation</x:t>
  </x:si>
  <x:si>
    <x:t xml:space="preserve">Asset servicing costs</x:t>
  </x:si>
  <x:si>
    <x:t xml:space="preserve">Other fixed costs, including D&amp;A</x:t>
  </x:si>
  <x:si>
    <x:t xml:space="preserve">Other employment-related expenses</x:t>
  </x:si>
  <x:si>
    <x:t xml:space="preserve">Total core operating costs</x:t>
  </x:si>
  <x:si>
    <x:t xml:space="preserve">Core operating profit before seed gains</x:t>
  </x:si>
  <x:si>
    <x:t xml:space="preserve">Core operating profit including seed gains</x:t>
  </x:si>
  <x:si>
    <x:t xml:space="preserve">PROFIT | FUNDING, TAX AND DILUTED SHARES</x:t>
  </x:si>
  <x:si>
    <x:t xml:space="preserve">Management-fee finance expense</x:t>
  </x:si>
  <x:si>
    <x:t xml:space="preserve">Performance / seed finance expense</x:t>
  </x:si>
  <x:si>
    <x:t xml:space="preserve">Third-party profit share: management</x:t>
  </x:si>
  <x:si>
    <x:t xml:space="preserve">Third-party profit share: performance</x:t>
  </x:si>
  <x:si>
    <x:t xml:space="preserve">Core management-fee profit before tax</x:t>
  </x:si>
  <x:si>
    <x:t xml:space="preserve">Core performance / seed profit before tax</x:t>
  </x:si>
  <x:si>
    <x:t xml:space="preserve">Core total profit before tax</x:t>
  </x:si>
  <x:si>
    <x:t xml:space="preserve">Core tax expense</x:t>
  </x:si>
  <x:si>
    <x:t xml:space="preserve">Core profit after tax</x:t>
  </x:si>
  <x:si>
    <x:t xml:space="preserve">Diluted weighted average shares, m</x:t>
  </x:si>
  <x:si>
    <x:t xml:space="preserve">Core operating margin</x:t>
  </x:si>
  <x:si>
    <x:t xml:space="preserve">Performance fees / net revenue</x:t>
  </x:si>
  <x:si>
    <x:t xml:space="preserve">Core effective tax rate</x:t>
  </x:si>
  <x:si>
    <x:t xml:space="preserve">HISTORICAL ALLOCATION | H1 AND FY LESS H1</x:t>
  </x:si>
  <x:si>
    <x:t xml:space="preserve">Quarter share of half-year midpoint AUM</x:t>
  </x:si>
  <x:si>
    <x:t xml:space="preserve">Quarter share of half-year PF revenue</x:t>
  </x:si>
  <x:si>
    <x:t xml:space="preserve">Half-year net management fees</x:t>
  </x:si>
  <x:si>
    <x:t xml:space="preserve">Half-year performance fees</x:t>
  </x:si>
  <x:si>
    <x:t xml:space="preserve">Half-year seed gains</x:t>
  </x:si>
  <x:si>
    <x:t xml:space="preserve">Half-year fixed compensation</x:t>
  </x:si>
  <x:si>
    <x:t xml:space="preserve">Half-year management compensation</x:t>
  </x:si>
  <x:si>
    <x:t xml:space="preserve">Half-year performance compensation</x:t>
  </x:si>
  <x:si>
    <x:t xml:space="preserve">Half-year other costs</x:t>
  </x:si>
  <x:si>
    <x:t xml:space="preserve">Half-year servicing</x:t>
  </x:si>
  <x:si>
    <x:t xml:space="preserve">Half-year rental / other income</x:t>
  </x:si>
  <x:si>
    <x:t xml:space="preserve">Half-year other employment</x:t>
  </x:si>
  <x:si>
    <x:t xml:space="preserve">Half-year management finance expense</x:t>
  </x:si>
  <x:si>
    <x:t xml:space="preserve">Half-year performance finance expense</x:t>
  </x:si>
  <x:si>
    <x:t xml:space="preserve">Half-year management third-party share</x:t>
  </x:si>
  <x:si>
    <x:t xml:space="preserve">Half-year performance third-party share</x:t>
  </x:si>
  <x:si>
    <x:t xml:space="preserve">Half-year core tax expense</x:t>
  </x:si>
  <x:si>
    <x:t xml:space="preserve">Half-year core PBT</x:t>
  </x:si>
  <x:si>
    <x:t xml:space="preserve">Half-year diluted weighted shares</x:t>
  </x:si>
  <x:si>
    <x:t xml:space="preserve">Half-year distribution costs</x:t>
  </x:si>
  <x:si>
    <x:t xml:space="preserve">H1 / FY ROLLUPS | QUARTERS REMAIN THE PRIMARY MODEL</x:t>
  </x:si>
  <x:si>
    <x:t xml:space="preserve">Man Group | reported evidence</x:t>
  </x:si>
  <x:si>
    <x:t xml:space="preserve">USD bn AUM; USD m financials; EPS in US cents. Costs shown as positive inputs.</x:t>
  </x:si>
  <x:si>
    <x:t xml:space="preserve">QUARTERLY AUM | REPORTED STOCKS AND FLOWS</x:t>
  </x:si>
  <x:si>
    <x:t xml:space="preserve">Opening AUM</x:t>
  </x:si>
  <x:si>
    <x:t xml:space="preserve">Reported FX and other bucket</x:t>
  </x:si>
  <x:si>
    <x:t xml:space="preserve">Closing AUM</x:t>
  </x:si>
  <x:si>
    <x:t xml:space="preserve">Acquisitions identified within other</x:t>
  </x:si>
  <x:si>
    <x:t xml:space="preserve">Source ID</x:t>
  </x:si>
  <x:si>
    <x:t xml:space="preserve">S01</x:t>
  </x:si>
  <x:si>
    <x:t xml:space="preserve">S02</x:t>
  </x:si>
  <x:si>
    <x:t xml:space="preserve">S03</x:t>
  </x:si>
  <x:si>
    <x:t xml:space="preserve">S04</x:t>
  </x:si>
  <x:si>
    <x:t xml:space="preserve">S05</x:t>
  </x:si>
  <x:si>
    <x:t xml:space="preserve">S06</x:t>
  </x:si>
  <x:si>
    <x:t xml:space="preserve">S07</x:t>
  </x:si>
  <x:si>
    <x:t xml:space="preserve">S08</x:t>
  </x:si>
  <x:si>
    <x:t xml:space="preserve">S09</x:t>
  </x:si>
  <x:si>
    <x:t xml:space="preserve">S10</x:t>
  </x:si>
  <x:si>
    <x:t xml:space="preserve">S11</x:t>
  </x:si>
  <x:si>
    <x:t xml:space="preserve">S12</x:t>
  </x:si>
  <x:si>
    <x:t xml:space="preserve">S13</x:t>
  </x:si>
  <x:si>
    <x:t xml:space="preserve">S14</x:t>
  </x:si>
  <x:si>
    <x:t xml:space="preserve">H1 / FY CORE FINANCIALS | COMPANY DISCLOSURES</x:t>
  </x:si>
  <x:si>
    <x:t xml:space="preserve">Gross management and other fees</x:t>
  </x:si>
  <x:si>
    <x:t xml:space="preserve">Distribution costs</x:t>
  </x:si>
  <x:si>
    <x:t xml:space="preserve">Core net management fees</x:t>
  </x:si>
  <x:si>
    <x:t xml:space="preserve">Core performance fees</x:t>
  </x:si>
  <x:si>
    <x:t xml:space="preserve">Core investment gains</x:t>
  </x:si>
  <x:si>
    <x:t xml:space="preserve">Core rental / other income</x:t>
  </x:si>
  <x:si>
    <x:t xml:space="preserve">Management-fee compensation</x:t>
  </x:si>
  <x:si>
    <x:t xml:space="preserve">Performance-fee compensation</x:t>
  </x:si>
  <x:si>
    <x:t xml:space="preserve">Core other costs, including D&amp;A</x:t>
  </x:si>
  <x:si>
    <x:t xml:space="preserve">Core other employment expenses</x:t>
  </x:si>
  <x:si>
    <x:t xml:space="preserve">Management-fee net finance expense</x:t>
  </x:si>
  <x:si>
    <x:t xml:space="preserve">Performance-fee net finance expense</x:t>
  </x:si>
  <x:si>
    <x:t xml:space="preserve">Core management-fee PBT</x:t>
  </x:si>
  <x:si>
    <x:t xml:space="preserve">Core performance-fee PBT</x:t>
  </x:si>
  <x:si>
    <x:t xml:space="preserve">Core total PBT</x:t>
  </x:si>
  <x:si>
    <x:t xml:space="preserve">Reported core diluted EPS, US cents</x:t>
  </x:si>
  <x:si>
    <x:t xml:space="preserve">Statutory profit after tax</x:t>
  </x:si>
  <x:si>
    <x:t xml:space="preserve">Reported statutory diluted EPS, US cents</x:t>
  </x:si>
  <x:si>
    <x:t xml:space="preserve">Published average fee margin, bp</x:t>
  </x:si>
  <x:si>
    <x:t xml:space="preserve">Source IDs</x:t>
  </x:si>
  <x:si>
    <x:t xml:space="preserve">ANNUAL AUM DETAIL | SEPARATELY DISCLOSED</x:t>
  </x:si>
  <x:si>
    <x:t xml:space="preserve">FX impact, USD bn</x:t>
  </x:si>
  <x:si>
    <x:t xml:space="preserve">Realisations / maturities, USD bn</x:t>
  </x:si>
  <x:si>
    <x:t xml:space="preserve">Total net flows, USD bn</x:t>
  </x:si>
  <x:si>
    <x:t xml:space="preserve">Total investment performance, USD bn</x:t>
  </x:si>
  <x:si>
    <x:t xml:space="preserve">Total reported FX and other, USD bn</x:t>
  </x:si>
  <x:si>
    <x:t xml:space="preserve">2025 MIX | AUM STOCK VS MANAGEMENT-FEE FLOW</x:t>
  </x:si>
  <x:si>
    <x:t xml:space="preserve">Closing AUM, bn</x:t>
  </x:si>
  <x:si>
    <x:t xml:space="preserve">Net fees, m</x:t>
  </x:si>
  <x:si>
    <x:t xml:space="preserve">Margin, bp</x:t>
  </x:si>
  <x:si>
    <x:t xml:space="preserve">S12 | FY2025 revenue table, page 11</x:t>
  </x:si>
  <x:si>
    <x:t xml:space="preserve">Other service income</x:t>
  </x:si>
  <x:si>
    <x:t xml:space="preserve">SOURCE REGISTER | ISSUER DISCLOSURES ACCESSED 14 SEP 2026</x:t>
  </x:si>
  <x:si>
    <x:t xml:space="preserve">S01 | Q1:23</x:t>
  </x:si>
  <x:si>
    <x:t xml:space="preserve">2023-04-26</x:t>
  </x:si>
  <x:si>
    <x:t xml:space="preserve">EMG:LN_20230426_Q1_8K</x:t>
  </x:si>
  <x:si>
    <x:t xml:space="preserve">Evidence location</x:t>
  </x:si>
  <x:si>
    <x:t xml:space="preserve">AUM bridge, p1</x:t>
  </x:si>
  <x:si>
    <x:t xml:space="preserve">Issuer source</x:t>
  </x:si>
  <x:si>
    <x:t xml:space="preserve">https://www.man.com/shareholder-relations</x:t>
  </x:si>
  <x:si>
    <x:t xml:space="preserve">S02 | H1:23</x:t>
  </x:si>
  <x:si>
    <x:t xml:space="preserve">2023-08-01</x:t>
  </x:si>
  <x:si>
    <x:t xml:space="preserve">EMG:LN_20230801_H1_8K</x:t>
  </x:si>
  <x:si>
    <x:t xml:space="preserve">AUM p5; core reconciliation pp29–32; EPS note 7</x:t>
  </x:si>
  <x:si>
    <x:t xml:space="preserve">https://www.man.com/news-centre/half-year-results-for-the-six-months-ended-30-june-2023</x:t>
  </x:si>
  <x:si>
    <x:t xml:space="preserve">S03 | Q3:23</x:t>
  </x:si>
  <x:si>
    <x:t xml:space="preserve">2023-10-19</x:t>
  </x:si>
  <x:si>
    <x:t xml:space="preserve">EMG:LN_20231019_Q3_8K</x:t>
  </x:si>
  <x:si>
    <x:t xml:space="preserve">S04 | FY:23</x:t>
  </x:si>
  <x:si>
    <x:t xml:space="preserve">2024-02-29</x:t>
  </x:si>
  <x:si>
    <x:t xml:space="preserve">EMG:LN_20240229_H2_8K</x:t>
  </x:si>
  <x:si>
    <x:t xml:space="preserve">AUM p5; review pp13–16; core pp58–63; EPS note 9</x:t>
  </x:si>
  <x:si>
    <x:t xml:space="preserve">https://www.man.com/news-centre/results-for-the-financial-year-ended-31-december-2023</x:t>
  </x:si>
  <x:si>
    <x:t xml:space="preserve">S05 | Q1:24</x:t>
  </x:si>
  <x:si>
    <x:t xml:space="preserve">2024-04-19</x:t>
  </x:si>
  <x:si>
    <x:t xml:space="preserve">EMG:LN_20240419_Q1_8K</x:t>
  </x:si>
  <x:si>
    <x:t xml:space="preserve">S06 | H1:24</x:t>
  </x:si>
  <x:si>
    <x:t xml:space="preserve">2024-07-26</x:t>
  </x:si>
  <x:si>
    <x:t xml:space="preserve">EMG:LN_20240726_H1_8K</x:t>
  </x:si>
  <x:si>
    <x:t xml:space="preserve">AUM p5; core pp31–34; EPS note 7</x:t>
  </x:si>
  <x:si>
    <x:t xml:space="preserve">https://www.man.com/news-centre/half-year-results-for-the-six-months-ended-30-june-2024</x:t>
  </x:si>
  <x:si>
    <x:t xml:space="preserve">S07 | Q3:24</x:t>
  </x:si>
  <x:si>
    <x:t xml:space="preserve">2024-10-17</x:t>
  </x:si>
  <x:si>
    <x:t xml:space="preserve">EMG:LN_20241017_Q3_8K</x:t>
  </x:si>
  <x:si>
    <x:t xml:space="preserve">S08 | FY:24</x:t>
  </x:si>
  <x:si>
    <x:t xml:space="preserve">2025-02-27</x:t>
  </x:si>
  <x:si>
    <x:t xml:space="preserve">EMG:LN_20250227_H2_8K</x:t>
  </x:si>
  <x:si>
    <x:t xml:space="preserve">AUM p4; core pp62–67; compensation note 6.1; EPS note 13</x:t>
  </x:si>
  <x:si>
    <x:t xml:space="preserve">https://www.man.com/news-centre/results-for-the-financial-year-ended-31-december-2024</x:t>
  </x:si>
  <x:si>
    <x:t xml:space="preserve">S09 | Q1:25</x:t>
  </x:si>
  <x:si>
    <x:t xml:space="preserve">2025-04-17</x:t>
  </x:si>
  <x:si>
    <x:t xml:space="preserve">EMG:LN_20250417_Q1_8K</x:t>
  </x:si>
  <x:si>
    <x:t xml:space="preserve">S10 | H1:25</x:t>
  </x:si>
  <x:si>
    <x:t xml:space="preserve">2025-07-30</x:t>
  </x:si>
  <x:si>
    <x:t xml:space="preserve">EMG:LN_20250730_H1_8K</x:t>
  </x:si>
  <x:si>
    <x:t xml:space="preserve">AUM p4; core pp33–37; EPS note 7</x:t>
  </x:si>
  <x:si>
    <x:t xml:space="preserve">https://www.man.com/news-centre/half-year-results-for-the-six-months-ended-30-june-2025</x:t>
  </x:si>
  <x:si>
    <x:t xml:space="preserve">S11 | Q3:25</x:t>
  </x:si>
  <x:si>
    <x:t xml:space="preserve">2025-10-17</x:t>
  </x:si>
  <x:si>
    <x:t xml:space="preserve">EMG:LN_20251017_Q3_8K</x:t>
  </x:si>
  <x:si>
    <x:t xml:space="preserve">S12 | FY:25</x:t>
  </x:si>
  <x:si>
    <x:t xml:space="preserve">2026-02-26</x:t>
  </x:si>
  <x:si>
    <x:t xml:space="preserve">EMG:LN_20260226_H2_8K</x:t>
  </x:si>
  <x:si>
    <x:t xml:space="preserve">AUM p3; core pp50–55; compensation note 6.1; EPS note 13</x:t>
  </x:si>
  <x:si>
    <x:t xml:space="preserve">https://www.man.com/news-centre/results-for-the-financial-year-ended-31-december-2025</x:t>
  </x:si>
  <x:si>
    <x:t xml:space="preserve">S13 | Q1:26</x:t>
  </x:si>
  <x:si>
    <x:t xml:space="preserve">2026-04-23</x:t>
  </x:si>
  <x:si>
    <x:t xml:space="preserve">EMG:LN_20260423_Q1_8K</x:t>
  </x:si>
  <x:si>
    <x:t xml:space="preserve">AUM bridge, pp1–2</x:t>
  </x:si>
  <x:si>
    <x:t xml:space="preserve">S14 | H1:26</x:t>
  </x:si>
  <x:si>
    <x:t xml:space="preserve">2026-07-28</x:t>
  </x:si>
  <x:si>
    <x:t xml:space="preserve">EMG:LN_20260728_H1_8K</x:t>
  </x:si>
  <x:si>
    <x:t xml:space="preserve">AUM pp4–5; core pp23–26; EPS note 9</x:t>
  </x:si>
  <x:si>
    <x:t xml:space="preserve">https://www.man.com/news-centre/trading-statement-30-june-2026</x:t>
  </x:si>
  <x:si>
    <x:t xml:space="preserve">Man Group | model diagnostics</x:t>
  </x:si>
  <x:si>
    <x:t xml:space="preserve">Differences are model less disclosure. Zero is expected; EPS allows 0.10c for rounded source earnings.</x:t>
  </x:si>
  <x:si>
    <x:t xml:space="preserve">QUARTERLY AUM | SOURCE TIE-OUT</x:t>
  </x:si>
  <x:si>
    <x:t xml:space="preserve">Closing AUM less reported closing AUM</x:t>
  </x:si>
  <x:si>
    <x:t xml:space="preserve">Rebuilt other bucket less reported other</x:t>
  </x:si>
  <x:si>
    <x:t xml:space="preserve">H1 / FY FINANCIALS | INDEPENDENT DISCLOSURE CONTROLS</x:t>
  </x:si>
  <x:si>
    <x:t xml:space="preserve">Seed gains</x:t>
  </x:si>
  <x:si>
    <x:t xml:space="preserve">Management-fee PBT</x:t>
  </x:si>
  <x:si>
    <x:t xml:space="preserve">Performance / seed PBT</x:t>
  </x:si>
  <x:si>
    <x:t xml:space="preserve">Total core PBT</x:t>
  </x:si>
  <x:si>
    <x:t xml:space="preserve">Weighted diluted shares</x:t>
  </x:si>
  <x:si>
    <x:t xml:space="preserve">Diluted EPS, US cents</x:t>
  </x:si>
  <x:si>
    <x:t xml:space="preserve">Total compensation</x:t>
  </x:si>
  <x:si>
    <x:t xml:space="preserve">Management compensation</x:t>
  </x:si>
  <x:si>
    <x:t xml:space="preserve">Performance / seed compensation</x:t>
  </x:si>
  <x:si>
    <x:t xml:space="preserve">Asset servicing</x:t>
  </x:si>
  <x:si>
    <x:t xml:space="preserve">Other costs incl D&amp;A</x:t>
  </x:si>
  <x:si>
    <x:t xml:space="preserve">Other employment</x:t>
  </x:si>
  <x:si>
    <x:t xml:space="preserve">ANNUAL AUM | SEPARATE CUMULATIVE DISCLOSURES</x:t>
  </x:si>
  <x:si>
    <x:t xml:space="preserve">Annual net flows</x:t>
  </x:si>
  <x:si>
    <x:t xml:space="preserve">Annual investment performance</x:t>
  </x:si>
  <x:si>
    <x:t xml:space="preserve">Annual FX and other bucket</x:t>
  </x:si>
  <x:si>
    <x:t xml:space="preserve">Annual FX allocation</x:t>
  </x:si>
  <x:si>
    <x:t xml:space="preserve">Annual realisations allocation</x:t>
  </x:si>
  <x:si>
    <x:t xml:space="preserve">FORECAST MECHANICS | ACTIVE CASE</x:t>
  </x:si>
  <x:si>
    <x:t xml:space="preserve">Net flows assumption</x:t>
  </x:si>
  <x:si>
    <x:t xml:space="preserve">Investment-return assumption</x:t>
  </x:si>
  <x:si>
    <x:t xml:space="preserve">Fee-margin assumption</x:t>
  </x:si>
  <x:si>
    <x:t xml:space="preserve">Performance-fee assumption</x:t>
  </x:si>
  <x:si>
    <x:t xml:space="preserve">Fee-linked variable compensation</x:t>
  </x:si>
  <x:si>
    <x:t xml:space="preserve">Zero non-organic AUM changes</x:t>
  </x:si>
  <x:si>
    <x:t xml:space="preserve">Fixed compensation run-rate</x:t>
  </x:si>
  <x:si>
    <x:t xml:space="preserve">Diluted share count</x:t>
  </x:si>
  <x:si>
    <x:t xml:space="preserve">Effective tax rate</x:t>
  </x:si>
  <x:si>
    <x:t xml:space="preserve">Quarterly AUM other split is an allocation check, not independent evidence of FX timing.</x:t>
  </x:si>
  <x:si>
    <x:t xml:space="preserve">Forecast rows test formula consistency. Scenario perturbation tests are described in Readme.</x:t>
  </x:si>
  <x:si>
    <x:t xml:space="preserve">Man Group | definitions and judgement</x:t>
  </x:si>
  <x:si>
    <x:t xml:space="preserve">Scope</x:t>
  </x:si>
  <x:si>
    <x:t xml:space="preserve">Twenty quarters, Q1 2023–Q4 2027. Fiscal year ends 31 December. Evidence cutoff 14 September 2026; latest actuals are H1 2026. No forecast replaces an already reported period.</x:t>
  </x:si>
  <x:si>
    <x:t xml:space="preserve">A / E labels</x:t>
  </x:si>
  <x:si>
    <x:t xml:space="preserve">AUM A / P&amp;L E means the AUM quarter is disclosed but individual-quarter financial results are model estimates. H1 and FY earnings remain sourced actual controls. Forecast begins Q3 2026.</x:t>
  </x:si>
  <x:si>
    <x:t xml:space="preserve">Economic basis</x:t>
  </x:si>
  <x:si>
    <x:t xml:space="preserve">Core (company-adjusted) earnings remove non-core acquisition, restructuring and other adjustments, and eliminate consolidation gross-ups. Statutory profit and EPS are retained as historical memo inputs, not mixed into the forecast.</x:t>
  </x:si>
  <x:si>
    <x:t xml:space="preserve">AUM perimeter</x:t>
  </x:si>
  <x:si>
    <x:t xml:space="preserve">Use disclosed fee-paying AUM, excluding uncalled non-fee-paying commitments ($4.9bn at June 2026). Opening and closing AUM are stocks. Net flows and all earnings/costs are period flows.</x:t>
  </x:si>
  <x:si>
    <x:t xml:space="preserve">Average AUM</x:t>
  </x:si>
  <x:si>
    <x:t xml:space="preserve">A simple opening/closing midpoint assumes activity is spread through each quarter. It does not reproduce daily AUM or fund-level fee accrual. Historical fees are allocated by midpoint weights and reconcile to reported H1 and FY.</x:t>
  </x:si>
  <x:si>
    <x:t xml:space="preserve">Management fees</x:t>
  </x:si>
  <x:si>
    <x:t xml:space="preserve">Model net management fees after distribution costs. Forecast applies 56bp, the reported 2025 average, to midpoint AUM with a quarter-year factor. Immaterial service income is absorbed in this blended rate. Historical gross fees and distribution costs are shown separately as memo lines.</x:t>
  </x:si>
  <x:si>
    <x:t xml:space="preserve">Fee margin limitation</x:t>
  </x:si>
  <x:si>
    <x:t xml:space="preserve">The historical implied margin uses midpoint AUM and differs from the published margin. Base deliberately returns to the 2025 average 56bp despite H1 2026 average 52bp and 2025 exit run-rate 52bp. This is the exercise assumption; Downside tests continued 52bp.</x:t>
  </x:si>
  <x:si>
    <x:t xml:space="preserve">Performance-fee timing</x:t>
  </x:si>
  <x:si>
    <x:t xml:space="preserve">Default allocation is Q1 10% / Q2 90% of H1, and Q3 10% / Q4 90% of FY less H1. These are explicit estimates, not disclosed quarter results. Forecast copies the corresponding allocated 2025 quarter. Changing allocation alters quarters but leaves historical H1/FY intact.</x:t>
  </x:si>
  <x:si>
    <x:t xml:space="preserve">Recognition and carry</x:t>
  </x:si>
  <x:si>
    <x:t xml:space="preserve">Fees depend on fund high-water marks, benchmarks, hurdles and crystallisation. The assumed AUM investment return is therefore not multiplied by an incentive rate to generate fees. Earned carry sits within performance fees where applicable. Acquired carry receivables are stocks and are not added to revenue.</x:t>
  </x:si>
  <x:si>
    <x:t xml:space="preserve">Pass-through fees</x:t>
  </x:si>
  <x:si>
    <x:t xml:space="preserve">H1 2026 statutory performance/pass-through fees contain a $19m gross-up, with $18m of associated compensation. Core metrics remove it; the model follows the reported core basis. No unsupported standalone carry or incentive-fee series is created.</x:t>
  </x:si>
  <x:si>
    <x:t xml:space="preserve">Fixed costs</x:t>
  </x:si>
  <x:si>
    <x:t xml:space="preserve">All fixed compensation belongs to the recurring management-fee business. Forecast fixed compensation is $274m / 4 and other fixed costs including D&amp;A $215m / 4. No inflation or incremental cost savings are assumed. Other employment expense stays $7m / 4.</x:t>
  </x:si>
  <x:si>
    <x:t xml:space="preserve">Variable compensation</x:t>
  </x:si>
  <x:si>
    <x:t xml:space="preserve">Management participation is ($481m − $274m) / $1,077m. Performance/seed participation is $194m / ($281m + $38m). The latter attribution links fee costs to fees and seed costs to seed returns while preserving the company-reported total.</x:t>
  </x:si>
  <x:si>
    <x:t xml:space="preserve">Servicing scales with average total AUM at the 2025 calibrated blended rate. The disclosed approximately 5bp excludes systematic long-only AUM; applying it to total group AUM would use the wrong denominator.</x:t>
  </x:si>
  <x:si>
    <x:t xml:space="preserve">Other earnings items</x:t>
  </x:si>
  <x:si>
    <x:t xml:space="preserve">Seed investment gains and rental income stay at 2025 annual totals / 4. Management and seed financing remain $7m / 4 and $11m / 4. Management third-party profit share stays $2m / 4; performance share scales at $1m / $281m of fee revenue.</x:t>
  </x:si>
  <x:si>
    <x:t xml:space="preserve">Operating profit</x:t>
  </x:si>
  <x:si>
    <x:t xml:space="preserve">Model-defined core operating profit equals net revenue less core operating costs, including D&amp;A and other employment costs. It is before net finance expense and third-party profit allocations. A separate operating-profit line excludes seed gains. Core PBT reconciles to the company.</x:t>
  </x:si>
  <x:si>
    <x:t xml:space="preserve">Tax and EPS</x:t>
  </x:si>
  <x:si>
    <x:t xml:space="preserve">Forecast tax is the unrounded 2025 ratio $86m / $407m. Forecast shares are 1,164.877368m. H1 actuals retain their reported rates and shares. Annual shares are day-weighted, and EPS equals total profit / weighted diluted shares; quarterly EPS is never added to make FY EPS.</x:t>
  </x:si>
  <x:si>
    <x:t xml:space="preserve">AUM other allocations</x:t>
  </x:si>
  <x:si>
    <x:t xml:space="preserve">2024 and 2025 FX totals are disclosed annually. Quarter FX is allocated in proportion to the reported other bucket after acquisitions; 2024 realisations are spread evenly. Residual other preserves each quarter total. n/d components remain in other, not assumed zero. Forecast FX, acquisitions, realisations and other are zero.</x:t>
  </x:si>
  <x:si>
    <x:t xml:space="preserve">Scenario use</x:t>
  </x:si>
  <x:si>
    <x:t xml:space="preserve">Change Assumptions D4: 1 Base; 2 Downside (zero flows, 52bp, half fees); 3 Upside (+2% flows, 58bp, 1.5× fees); 4 Zero PF (base AUM/margin, no forecast performance fees). Individual forecast quarters are editable. One engine recalculates every case.</x:t>
  </x:si>
  <x:si>
    <x:t xml:space="preserve">Zero-fee interpretation</x:t>
  </x:si>
  <x:si>
    <x:t xml:space="preserve">Historical H1 2026 performance fees of $207m remain actual in every case. Only forecast performance fees become zero. FY2027 shows a full year without performance fees. Seed gains, their compensation and seed funding remain; Zero PF is not a zero-investment-income case.</x:t>
  </x:si>
  <x:si>
    <x:t xml:space="preserve">Checks</x:t>
  </x:si>
  <x:si>
    <x:t xml:space="preserve">AUM reconciles quarterly to source; fees, cost components, both PBT streams, tax, profit and weighted shares reconcile to H1/FY controls. EPS differences within 0.10 US cents reflect rounded published dollar profits and share counts. Allocation identities are labelled separately from source tie-outs.</x:t>
  </x:si>
  <x:si>
    <x:t xml:space="preserve">Refresh</x:t>
  </x:si>
  <x:si>
    <x:t xml:space="preserve">Add the next quarter AUM bridge and next H1/FY financial control, preserve previous sources, replace affected forecast cells with allocation formulas, and move the forecast cutoff. Rebase exercise assumptions only deliberately; do not automatically substitute new management guidance.</x:t>
  </x:si>
  <x:si>
    <x:t xml:space="preserve">Verification</x:t>
  </x:si>
  <x:si>
    <x:t xml:space="preserve">Recalculated every case, confirmed historical invariance, tested a later-quarter driver and missing selected/unselected inputs, and inspected each sheet. Reopened the exported workbook to verify formulas, comments and outputs. Native Excel verification is recorded in the accompanying model record.</x:t>
  </x:si>
</x:sst>
</file>

<file path=xl/styles.xml><?xml version="1.0" encoding="utf-8"?>
<x:styleSheet xmlns:x="http://schemas.openxmlformats.org/spreadsheetml/2006/main">
  <x:numFmts count="8">
    <x:numFmt numFmtId="164" formatCode="#,##0.0;\(#,##0.0\);&quot;–&quot;"/>
    <x:numFmt numFmtId="165" formatCode="#,##0.000;\(#,##0.000\);&quot;–&quot;"/>
    <x:numFmt numFmtId="166" formatCode="0.00;\(0.00\);&quot;–&quot;"/>
    <x:numFmt numFmtId="167" formatCode="0.0%;\(0.0%\);&quot;–&quot;"/>
    <x:numFmt numFmtId="168" formatCode="0.0&quot; bp&quot;;\(0.0&quot; bp&quot;\);&quot;–&quot;"/>
    <x:numFmt numFmtId="169" formatCode="0.00&quot;x&quot;"/>
    <x:numFmt numFmtId="170" formatCode="#,##0.000"/>
    <x:numFmt numFmtId="171" formatCode="0.00;\(0.00\);0.00"/>
  </x:numFmts>
  <x:fonts count="14">
    <x:font>
      <x:sz val="11"/>
      <x:name val="Carlito"/>
    </x:font>
    <x:font>
      <x:sz val="10"/>
      <x:name val="Arial"/>
    </x:font>
    <x:font>
      <x:sz val="10"/>
      <x:color rgb="FF182C3C"/>
      <x:name val="Arial"/>
    </x:font>
    <x:font>
      <x:b/>
      <x:sz val="16"/>
      <x:color rgb="FF182C3C"/>
      <x:name val="Arial"/>
    </x:font>
    <x:font>
      <x:sz val="10"/>
      <x:color rgb="FF008040"/>
      <x:name val="Arial"/>
    </x:font>
    <x:font>
      <x:b/>
      <x:sz val="10"/>
      <x:color rgb="FF182C3C"/>
      <x:name val="Arial"/>
    </x:font>
    <x:font>
      <x:sz val="10"/>
      <x:color rgb="FF0000CC"/>
      <x:name val="Arial"/>
    </x:font>
    <x:font>
      <x:sz val="10"/>
      <x:color rgb="FFFFFFFF"/>
      <x:name val="Arial"/>
    </x:font>
    <x:font>
      <x:b/>
      <x:sz val="10"/>
      <x:color rgb="FF008040"/>
      <x:name val="Arial"/>
    </x:font>
    <x:font>
      <x:sz val="9"/>
      <x:color rgb="FF182C3C"/>
      <x:name val="Arial"/>
    </x:font>
    <x:font>
      <x:i/>
      <x:sz val="10"/>
      <x:color rgb="FF182C3C"/>
      <x:name val="Arial"/>
    </x:font>
    <x:font>
      <x:i/>
      <x:sz val="10"/>
      <x:color rgb="FF008040"/>
      <x:name val="Arial"/>
    </x:font>
    <x:font>
      <x:sz val="11"/>
      <x:color rgb="FF182C3C"/>
      <x:name val="Carlito"/>
    </x:font>
    <x:font>
      <x:sz val="11"/>
      <x:color rgb="FF008040"/>
      <x:name val="Carlito"/>
    </x:font>
  </x:fonts>
  <x:fills count="7">
    <x:fill>
      <x:patternFill patternType="none"/>
    </x:fill>
    <x:fill>
      <x:patternFill patternType="gray125"/>
    </x:fill>
    <x:fill>
      <x:patternFill patternType="solid">
        <x:fgColor rgb="FFE9F0F5"/>
      </x:patternFill>
    </x:fill>
    <x:fill>
      <x:patternFill patternType="solid">
        <x:fgColor rgb="FF18344B"/>
      </x:patternFill>
    </x:fill>
    <x:fill>
      <x:patternFill patternType="solid">
        <x:fgColor rgb="FFFFF2CC"/>
      </x:patternFill>
    </x:fill>
    <x:fill>
      <x:patternFill patternType="solid">
        <x:fgColor rgb="FFEDF4F8"/>
      </x:patternFill>
    </x:fill>
    <x:fill>
      <x:patternFill patternType="solid">
        <x:fgColor rgb="FFFFF4DE"/>
      </x:patternFill>
    </x:fill>
  </x:fills>
  <x:borders count="6">
    <x:border/>
    <x:border>
      <x:bottom style="thin">
        <x:color rgb="FF18344B"/>
      </x:bottom>
    </x:border>
    <x:border>
      <x:left style="dotted">
        <x:color rgb="FFBCCAD5"/>
      </x:left>
      <x:top style="dotted">
        <x:color rgb="FFBCCAD5"/>
      </x:top>
      <x:bottom style="dotted">
        <x:color rgb="FFBCCAD5"/>
      </x:bottom>
    </x:border>
    <x:border>
      <x:top style="dotted">
        <x:color rgb="FFBCCAD5"/>
      </x:top>
      <x:bottom style="dotted">
        <x:color rgb="FFBCCAD5"/>
      </x:bottom>
    </x:border>
    <x:border>
      <x:right style="dotted">
        <x:color rgb="FFBCCAD5"/>
      </x:right>
      <x:top style="dotted">
        <x:color rgb="FFBCCAD5"/>
      </x:top>
      <x:bottom style="dotted">
        <x:color rgb="FFBCCAD5"/>
      </x:bottom>
    </x:border>
    <x:border>
      <x:top style="thin">
        <x:color rgb="FFBCCAD5"/>
      </x:top>
    </x:border>
  </x:borders>
  <x:cellStyleXfs count="1">
    <x:xf numFmtId="0" fontId="0" fillId="0" borderId="0"/>
  </x:cellStyleXfs>
  <x:cellXfs count="64">
    <x:xf numFmtId="0" fontId="0" fillId="0" borderId="0" xfId="0"/>
    <x:xf numFmtId="0" fontId="1" fillId="0" borderId="0" xfId="0" applyFont="1"/>
    <x:xf numFmtId="0" fontId="2" fillId="0" borderId="0" xfId="0" applyFont="1" applyAlignment="1">
      <x:alignment vertical="center"/>
    </x:xf>
    <x:xf numFmtId="164" fontId="2" fillId="0" borderId="0" xfId="0" applyNumberFormat="1" applyFont="1" applyAlignment="1">
      <x:alignment vertical="center"/>
    </x:xf>
    <x:xf numFmtId="0" fontId="3" fillId="0" borderId="0" xfId="0" applyFont="1" applyAlignment="1">
      <x:alignment vertical="center"/>
    </x:xf>
    <x:xf numFmtId="0" fontId="2" fillId="0" borderId="1" xfId="0" applyFont="1" applyBorder="1" applyAlignment="1">
      <x:alignment vertical="center"/>
    </x:xf>
    <x:xf numFmtId="164" fontId="2" fillId="0" borderId="1" xfId="0" applyNumberFormat="1" applyFont="1" applyBorder="1" applyAlignment="1">
      <x:alignment vertical="center"/>
    </x:xf>
    <x:xf numFmtId="164" fontId="4" fillId="0" borderId="0" xfId="0" applyNumberFormat="1" applyFont="1" applyAlignment="1">
      <x:alignment vertical="center"/>
    </x:xf>
    <x:xf numFmtId="164" fontId="4" fillId="0" borderId="2" xfId="0" applyNumberFormat="1" applyFont="1" applyBorder="1" applyAlignment="1">
      <x:alignment vertical="center"/>
    </x:xf>
    <x:xf numFmtId="164" fontId="2" fillId="0" borderId="3" xfId="0" applyNumberFormat="1" applyFont="1" applyBorder="1" applyAlignment="1">
      <x:alignment vertical="center"/>
    </x:xf>
    <x:xf numFmtId="164" fontId="2" fillId="0" borderId="4" xfId="0" applyNumberFormat="1" applyFont="1" applyBorder="1" applyAlignment="1">
      <x:alignment vertical="center"/>
    </x:xf>
    <x:xf numFmtId="0" fontId="5" fillId="2" borderId="0" xfId="0" applyFont="1" applyFill="1" applyAlignment="1">
      <x:alignment vertical="center"/>
    </x:xf>
    <x:xf numFmtId="164" fontId="5" fillId="2" borderId="0" xfId="0" applyNumberFormat="1" applyFont="1" applyFill="1" applyAlignment="1">
      <x:alignment vertical="center"/>
    </x:xf>
    <x:xf numFmtId="164" fontId="6" fillId="0" borderId="0" xfId="0" applyNumberFormat="1" applyFont="1" applyAlignment="1">
      <x:alignment vertical="center"/>
    </x:xf>
    <x:xf numFmtId="165" fontId="6" fillId="0" borderId="0" xfId="0" applyNumberFormat="1" applyFont="1" applyAlignment="1">
      <x:alignment vertical="center"/>
    </x:xf>
    <x:xf numFmtId="166" fontId="6" fillId="0" borderId="0" xfId="0" applyNumberFormat="1" applyFont="1" applyAlignment="1">
      <x:alignment vertical="center"/>
    </x:xf>
    <x:xf numFmtId="0" fontId="1" fillId="2" borderId="0" xfId="0" applyFont="1" applyFill="1"/>
    <x:xf numFmtId="164" fontId="6" fillId="4" borderId="0" xfId="0" applyNumberFormat="1" applyFont="1" applyFill="1" applyAlignment="1">
      <x:alignment vertical="center"/>
    </x:xf>
    <x:xf numFmtId="167" fontId="4" fillId="0" borderId="0" xfId="0" applyNumberFormat="1" applyFont="1" applyAlignment="1">
      <x:alignment vertical="center"/>
    </x:xf>
    <x:xf numFmtId="167" fontId="2" fillId="0" borderId="0" xfId="0" applyNumberFormat="1" applyFont="1" applyAlignment="1">
      <x:alignment vertical="center"/>
    </x:xf>
    <x:xf numFmtId="167" fontId="6" fillId="4" borderId="0" xfId="0" applyNumberFormat="1" applyFont="1" applyFill="1" applyAlignment="1">
      <x:alignment vertical="center"/>
    </x:xf>
    <x:xf numFmtId="0" fontId="5" fillId="0" borderId="0" xfId="0" applyFont="1" applyAlignment="1">
      <x:alignment vertical="center"/>
    </x:xf>
    <x:xf numFmtId="167" fontId="8" fillId="0" borderId="0" xfId="0" applyNumberFormat="1" applyFont="1" applyAlignment="1">
      <x:alignment vertical="center"/>
    </x:xf>
    <x:xf numFmtId="167" fontId="5" fillId="0" borderId="0" xfId="0" applyNumberFormat="1" applyFont="1" applyAlignment="1">
      <x:alignment vertical="center"/>
    </x:xf>
    <x:xf numFmtId="168" fontId="4" fillId="0" borderId="0" xfId="0" applyNumberFormat="1" applyFont="1" applyAlignment="1">
      <x:alignment vertical="center"/>
    </x:xf>
    <x:xf numFmtId="168" fontId="2" fillId="0" borderId="0" xfId="0" applyNumberFormat="1" applyFont="1" applyAlignment="1">
      <x:alignment vertical="center"/>
    </x:xf>
    <x:xf numFmtId="168" fontId="2" fillId="4" borderId="0" xfId="0" applyNumberFormat="1" applyFont="1" applyFill="1" applyAlignment="1">
      <x:alignment vertical="center"/>
    </x:xf>
    <x:xf numFmtId="168" fontId="6" fillId="4" borderId="0" xfId="0" applyNumberFormat="1" applyFont="1" applyFill="1" applyAlignment="1">
      <x:alignment vertical="center"/>
    </x:xf>
    <x:xf numFmtId="168" fontId="8" fillId="0" borderId="0" xfId="0" applyNumberFormat="1" applyFont="1" applyAlignment="1">
      <x:alignment vertical="center"/>
    </x:xf>
    <x:xf numFmtId="168" fontId="5" fillId="0" borderId="0" xfId="0" applyNumberFormat="1" applyFont="1" applyAlignment="1">
      <x:alignment vertical="center"/>
    </x:xf>
    <x:xf numFmtId="164" fontId="4" fillId="4" borderId="0" xfId="0" applyNumberFormat="1" applyFont="1" applyFill="1" applyAlignment="1">
      <x:alignment vertical="center"/>
    </x:xf>
    <x:xf numFmtId="164" fontId="8" fillId="0" borderId="0" xfId="0" applyNumberFormat="1" applyFont="1" applyAlignment="1">
      <x:alignment vertical="center"/>
    </x:xf>
    <x:xf numFmtId="164" fontId="5" fillId="0" borderId="0" xfId="0" applyNumberFormat="1" applyFont="1" applyAlignment="1">
      <x:alignment vertical="center"/>
    </x:xf>
    <x:xf numFmtId="167" fontId="6" fillId="0" borderId="0" xfId="0" applyNumberFormat="1" applyFont="1" applyAlignment="1">
      <x:alignment vertical="center"/>
    </x:xf>
    <x:xf numFmtId="169" fontId="6" fillId="0" borderId="0" xfId="0" applyNumberFormat="1" applyFont="1" applyAlignment="1">
      <x:alignment vertical="center"/>
    </x:xf>
    <x:xf numFmtId="1" fontId="6" fillId="0" borderId="0" xfId="0" applyNumberFormat="1" applyFont="1" applyAlignment="1">
      <x:alignment vertical="center"/>
    </x:xf>
    <x:xf numFmtId="170" fontId="4" fillId="0" borderId="0" xfId="0" applyNumberFormat="1" applyFont="1" applyAlignment="1">
      <x:alignment vertical="center"/>
    </x:xf>
    <x:xf numFmtId="15" fontId="2" fillId="0" borderId="0" xfId="0" applyNumberFormat="1" applyFont="1" applyAlignment="1">
      <x:alignment vertical="center"/>
    </x:xf>
    <x:xf numFmtId="164" fontId="5" fillId="5" borderId="0" xfId="0" applyNumberFormat="1" applyFont="1" applyFill="1" applyAlignment="1">
      <x:alignment vertical="center"/>
    </x:xf>
    <x:xf numFmtId="164" fontId="2" fillId="5" borderId="0" xfId="0" applyNumberFormat="1" applyFont="1" applyFill="1" applyAlignment="1">
      <x:alignment vertical="center"/>
    </x:xf>
    <x:xf numFmtId="164" fontId="4" fillId="5" borderId="0" xfId="0" applyNumberFormat="1" applyFont="1" applyFill="1" applyAlignment="1">
      <x:alignment vertical="center"/>
    </x:xf>
    <x:xf numFmtId="0" fontId="5" fillId="0" borderId="5" xfId="0" applyFont="1" applyBorder="1" applyAlignment="1">
      <x:alignment vertical="center"/>
    </x:xf>
    <x:xf numFmtId="164" fontId="5" fillId="0" borderId="5" xfId="0" applyNumberFormat="1" applyFont="1" applyBorder="1" applyAlignment="1">
      <x:alignment vertical="center"/>
    </x:xf>
    <x:xf numFmtId="164" fontId="5" fillId="5" borderId="5" xfId="0" applyNumberFormat="1" applyFont="1" applyFill="1" applyBorder="1" applyAlignment="1">
      <x:alignment vertical="center"/>
    </x:xf>
    <x:xf numFmtId="164" fontId="8" fillId="5" borderId="5" xfId="0" applyNumberFormat="1" applyFont="1" applyFill="1" applyBorder="1" applyAlignment="1">
      <x:alignment vertical="center"/>
    </x:xf>
    <x:xf numFmtId="0" fontId="10" fillId="0" borderId="0" xfId="0" applyFont="1" applyAlignment="1">
      <x:alignment vertical="center"/>
    </x:xf>
    <x:xf numFmtId="167" fontId="10" fillId="0" borderId="0" xfId="0" applyNumberFormat="1" applyFont="1" applyAlignment="1">
      <x:alignment vertical="center"/>
    </x:xf>
    <x:xf numFmtId="167" fontId="10" fillId="5" borderId="0" xfId="0" applyNumberFormat="1" applyFont="1" applyFill="1" applyAlignment="1">
      <x:alignment vertical="center"/>
    </x:xf>
    <x:xf numFmtId="167" fontId="11" fillId="0" borderId="0" xfId="0" applyNumberFormat="1" applyFont="1" applyAlignment="1">
      <x:alignment vertical="center"/>
    </x:xf>
    <x:xf numFmtId="168" fontId="4" fillId="5" borderId="0" xfId="0" applyNumberFormat="1" applyFont="1" applyFill="1" applyAlignment="1">
      <x:alignment vertical="center"/>
    </x:xf>
    <x:xf numFmtId="166" fontId="8" fillId="0" borderId="5" xfId="0" applyNumberFormat="1" applyFont="1" applyBorder="1" applyAlignment="1">
      <x:alignment vertical="center"/>
    </x:xf>
    <x:xf numFmtId="166" fontId="8" fillId="5" borderId="5" xfId="0" applyNumberFormat="1" applyFont="1" applyFill="1" applyBorder="1" applyAlignment="1">
      <x:alignment vertical="center"/>
    </x:xf>
    <x:xf numFmtId="0" fontId="12" fillId="0" borderId="0" xfId="0" applyFont="1"/>
    <x:xf numFmtId="166" fontId="13" fillId="0" borderId="0" xfId="0" applyNumberFormat="1" applyFont="1"/>
    <x:xf numFmtId="168" fontId="13" fillId="0" borderId="0" xfId="0" applyNumberFormat="1" applyFont="1"/>
    <x:xf numFmtId="166" fontId="5" fillId="0" borderId="5" xfId="0" applyNumberFormat="1" applyFont="1" applyBorder="1" applyAlignment="1">
      <x:alignment vertical="center"/>
    </x:xf>
    <x:xf numFmtId="171" fontId="2" fillId="0" borderId="0" xfId="0" applyNumberFormat="1" applyFont="1" applyAlignment="1">
      <x:alignment vertical="center"/>
    </x:xf>
    <x:xf numFmtId="164" fontId="2" fillId="0" borderId="0" xfId="0" applyNumberFormat="1" applyFont="1" applyAlignment="1">
      <x:alignment vertical="center" wrapText="1"/>
    </x:xf>
    <x:xf numFmtId="164" fontId="7" fillId="3" borderId="0" xfId="0" applyNumberFormat="1" applyFont="1" applyFill="1" applyAlignment="1">
      <x:alignment horizontal="center" vertical="center"/>
    </x:xf>
    <x:xf numFmtId="164" fontId="2" fillId="0" borderId="0" xfId="0" applyNumberFormat="1" applyFont="1" applyAlignment="1">
      <x:alignment horizontal="center" vertical="center"/>
    </x:xf>
    <x:xf numFmtId="164" fontId="9" fillId="6" borderId="0" xfId="0" applyNumberFormat="1" applyFont="1" applyFill="1" applyAlignment="1">
      <x:alignment horizontal="center" vertical="center"/>
    </x:xf>
    <x:xf numFmtId="164" fontId="9" fillId="0" borderId="0" xfId="0" applyNumberFormat="1" applyFont="1" applyAlignment="1">
      <x:alignment horizontal="center" vertical="center"/>
    </x:xf>
    <x:xf numFmtId="164" fontId="6" fillId="0" borderId="0" xfId="0" applyNumberFormat="1" applyFont="1" applyAlignment="1">
      <x:alignment horizontal="right" vertical="center"/>
    </x:xf>
    <x:xf numFmtId="1" fontId="6" fillId="4" borderId="0" xfId="0" applyNumberFormat="1" applyFont="1" applyFill="1" applyAlignment="1">
      <x:alignment vertical="center"/>
    </x:xf>
  </x:cellXfs>
  <x:cellStyles count="1">
    <x:cellStyle name="Normal" xfId="0"/>
  </x:cellStyles>
  <x:dxfs count="6">
    <x:dxf>
      <x:font>
        <x:b/>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a401419f0740c9" /><Relationship Type="http://schemas.openxmlformats.org/officeDocument/2006/relationships/theme" Target="/xl/theme/theme1.xml" Id="R2462dccc3b24431b" /><Relationship Type="http://schemas.openxmlformats.org/officeDocument/2006/relationships/sharedStrings" Target="/xl/sharedStrings.xml" Id="Rdeda8511c0604e4e" /><Relationship Type="http://schemas.openxmlformats.org/officeDocument/2006/relationships/worksheet" Target="/xl/worksheets/sheet1.xml" Id="R024532c4e03440eb" /><Relationship Type="http://schemas.openxmlformats.org/officeDocument/2006/relationships/worksheet" Target="/xl/worksheets/sheet2.xml" Id="R68d22edcde9f4b2f" /><Relationship Type="http://schemas.openxmlformats.org/officeDocument/2006/relationships/worksheet" Target="/xl/worksheets/sheet3.xml" Id="Rdf66cc3c38764750" /><Relationship Type="http://schemas.openxmlformats.org/officeDocument/2006/relationships/worksheet" Target="/xl/worksheets/sheet4.xml" Id="R4ed91ba07dd44a46" /><Relationship Type="http://schemas.openxmlformats.org/officeDocument/2006/relationships/worksheet" Target="/xl/worksheets/sheet5.xml" Id="Rc785987f09e9402f" /><Relationship Type="http://schemas.openxmlformats.org/officeDocument/2006/relationships/worksheet" Target="/xl/worksheets/sheet6.xml" Id="R27bb52a02020434c" /><Relationship Type="http://schemas.microsoft.com/office/2017/10/relationships/person" Target="/xl/persons/person.xml" Id="Rd1891b5bb73a431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33b80001723498f"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Core profit sources (USD m)</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autoTitleDeleted val="0"/>
    <c:plotArea>
      <c:barChart>
        <c:barDir val="col"/>
        <c:grouping val="clustered"/>
        <c:varyColors val="0"/>
        <c:ser>
          <c:idx val="0"/>
          <c:order val="0"/>
          <c:tx>
            <c:v>Mgmt PBT</c:v>
          </c:tx>
          <c:spPr>
            <a:solidFill xmlns:a="http://schemas.openxmlformats.org/drawingml/2006/main">
              <a:srgbClr val="18344B"/>
            </a:solidFill>
          </c:spPr>
          <c:cat>
            <c:strRef>
              <c:f>Summary!$C$53:$C$57</c:f>
              <c:strCache>
                <c:ptCount val="5"/>
                <c:pt idx="0">
                  <c:v>FY:23</c:v>
                </c:pt>
                <c:pt idx="1">
                  <c:v>FY:24</c:v>
                </c:pt>
                <c:pt idx="2">
                  <c:v>FY:25</c:v>
                </c:pt>
                <c:pt idx="3">
                  <c:v>FY:26</c:v>
                </c:pt>
                <c:pt idx="4">
                  <c:v>FY:27</c:v>
                </c:pt>
              </c:strCache>
            </c:strRef>
          </c:cat>
          <c:val>
            <c:numRef>
              <c:f>Summary!$D$53:$D$57</c:f>
              <c:numCache>
                <c:formatCode>#,##0.0;\(#,##0.0\);"–"</c:formatCode>
                <c:ptCount val="5"/>
                <c:pt idx="0">
                  <c:v>280</c:v>
                </c:pt>
                <c:pt idx="1">
                  <c:v>323</c:v>
                </c:pt>
                <c:pt idx="2">
                  <c:v>293.99999999999994</c:v>
                </c:pt>
                <c:pt idx="3">
                  <c:v>473.73768752705735</c:v>
                </c:pt>
                <c:pt idx="4">
                  <c:v>658.7541060612962</c:v>
                </c:pt>
              </c:numCache>
            </c:numRef>
          </c:val>
        </c:ser>
        <c:ser>
          <c:idx val="1"/>
          <c:order val="1"/>
          <c:tx>
            <c:v>PF / seed PBT</c:v>
          </c:tx>
          <c:spPr>
            <a:solidFill xmlns:a="http://schemas.openxmlformats.org/drawingml/2006/main">
              <a:srgbClr val="6DA5B0"/>
            </a:solidFill>
          </c:spPr>
          <c:cat>
            <c:strRef>
              <c:f>Summary!$C$53:$C$57</c:f>
              <c:strCache>
                <c:ptCount val="5"/>
                <c:pt idx="0">
                  <c:v>FY:23</c:v>
                </c:pt>
                <c:pt idx="1">
                  <c:v>FY:24</c:v>
                </c:pt>
                <c:pt idx="2">
                  <c:v>FY:25</c:v>
                </c:pt>
                <c:pt idx="3">
                  <c:v>FY:26</c:v>
                </c:pt>
                <c:pt idx="4">
                  <c:v>FY:27</c:v>
                </c:pt>
              </c:strCache>
            </c:strRef>
          </c:cat>
          <c:val>
            <c:numRef>
              <c:f>Summary!$E$53:$E$57</c:f>
              <c:numCache>
                <c:formatCode>#,##0.0;\(#,##0.0\);"–"</c:formatCode>
                <c:ptCount val="5"/>
                <c:pt idx="0">
                  <c:v>60.00000000000001</c:v>
                </c:pt>
                <c:pt idx="1">
                  <c:v>150</c:v>
                </c:pt>
                <c:pt idx="2">
                  <c:v>113</c:v>
                </c:pt>
                <c:pt idx="3">
                  <c:v>196.03937460257254</c:v>
                </c:pt>
                <c:pt idx="4">
                  <c:v>113.00000000000003</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39</xdr:row>
      <xdr:rowOff>0</xdr:rowOff>
    </xdr:from>
    <xdr:to>
      <xdr:col>14</xdr:col>
      <xdr:colOff>0</xdr:colOff>
      <xdr:row>57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3b80001723498f"/>
        </a:graphicData>
      </a:graphic>
    </xdr:graphicFrame>
    <xdr:clientData/>
  </xdr:twoCellAnchor>
</xdr:wsDr>
</file>

<file path=xl/drawings/drawing2.xml><?xml version="1.0" encoding="utf-8"?>
<xdr:wsDr xmlns:xdr="http://schemas.openxmlformats.org/drawingml/2006/spreadsheetDrawing">
  <xdr:twoCellAnchor editAs="oneCell">
    <xdr:from>
      <xdr:col>0</xdr:col>
      <xdr:colOff>0</xdr:colOff>
      <xdr:row>0</xdr:row>
      <xdr:rowOff>0</xdr:rowOff>
    </xdr:from>
    <xdr:to>
      <xdr:col>11</xdr:col>
      <xdr:colOff>812800</xdr:colOff>
      <xdr:row>52</xdr:row>
      <xdr:rowOff>152400</xdr:rowOff>
    </xdr:to>
    <xdr:sp>
      <xdr:nvSpPr>
        <xdr:cNvPr id="1" name="Text Box 10"/>
        <xdr:cNvSpPr>
          <a:spLocks xmlns:a="http://schemas.openxmlformats.org/drawingml/2006/main" noGrp="1"/>
        </xdr:cNvSpPr>
      </xdr:nvSpPr>
      <xdr:spPr>
        <a:xfrm xmlns:a="http://schemas.openxmlformats.org/drawingml/2006/main">
          <a:off x="0" y="0"/>
          <a:ext cx="12700000" cy="1270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11</xdr:col>
      <xdr:colOff>812800</xdr:colOff>
      <xdr:row>52</xdr:row>
      <xdr:rowOff>152400</xdr:rowOff>
    </xdr:to>
    <xdr:sp>
      <xdr:nvSpPr>
        <xdr:cNvPr id="1" name="Text Box 257"/>
        <xdr:cNvSpPr>
          <a:spLocks xmlns:a="http://schemas.openxmlformats.org/drawingml/2006/main" noGrp="1"/>
        </xdr:cNvSpPr>
      </xdr:nvSpPr>
      <xdr:spPr>
        <a:xfrm xmlns:a="http://schemas.openxmlformats.org/drawingml/2006/main">
          <a:off x="0" y="0"/>
          <a:ext cx="12700000" cy="1270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11</xdr:col>
      <xdr:colOff>812800</xdr:colOff>
      <xdr:row>52</xdr:row>
      <xdr:rowOff>152400</xdr:rowOff>
    </xdr:to>
    <xdr:sp>
      <xdr:nvSpPr>
        <xdr:cNvPr id="1" name="Text Box 6"/>
        <xdr:cNvSpPr>
          <a:spLocks xmlns:a="http://schemas.openxmlformats.org/drawingml/2006/main" noGrp="1"/>
        </xdr:cNvSpPr>
      </xdr:nvSpPr>
      <xdr:spPr>
        <a:xfrm xmlns:a="http://schemas.openxmlformats.org/drawingml/2006/main">
          <a:off x="0" y="0"/>
          <a:ext cx="12700000" cy="1270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persons/person.xml><?xml version="1.0" encoding="utf-8"?>
<xltc:personList xmlns:xltc="http://schemas.microsoft.com/office/spreadsheetml/2018/threadedcomments">
  <xltc:person displayName="User" id="{E318F780-FD6E-4553-A307-152AE3F8479B}"/>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D41" dT="2026-09-14T16:33:13.87" personId="{E318F780-FD6E-4553-A307-152AE3F8479B}" id="{A518F3B3-C743-4D43-8F24-4B5FAD0B4E8A}">
    <xltc:text>Judgement: allocate 10% of H1 performance fees to Q1 and 90% to Q2. Q1/Q3 disclosures provide AUM, not earnings. This allows limited intra-half crystallisations while concentrating recognition in the reporting half-end quarter. It is not a disclosed quarterly result. Change this input to test timing; H1 and FY totals stay fixed.</xltc:text>
  </xltc:threadedComment>
  <xltc:threadedComment ref="D42" dT="2026-09-14T16:33:13.87" personId="{E318F780-FD6E-4553-A307-152AE3F8479B}" id="{9E2C135F-F8EE-4D5D-866F-EDB81E504D9B}">
    <xltc:text>Judgement: allocate 10% of FY less H1 performance fees to Q3 and 90% to Q4. Forecasts copy the corresponding 2025 estimated quarter, as required by the exercise. This timing is an assumption, not observed seasonality.</xltc:text>
  </xltc:threadedComment>
  <xltc:threadedComment ref="D50" dT="2026-09-14T16:33:13.87" personId="{E318F780-FD6E-4553-A307-152AE3F8479B}" id="{EE8B9BC0-216C-49ED-BDDB-C319B1100EE3}">
    <xltc:text>Uses the published 2025 average net management-fee margin of 56bp, held flat under the exercise. H1 2026 reported 52bp and year-end 2025 run-rate margin was 52bp. Forecast assumes a recovery to the 2025 average. Midpoint AUM is a proxy; historical fees / midpoint AUM need not exactly match the published fund-level margin.</xltc:text>
  </xltc:threadedComment>
  <xltc:threadedComment ref="D51" dT="2026-09-14T16:33:13.87" personId="{E318F780-FD6E-4553-A307-152AE3F8479B}" id="{CE437C96-4E8F-43E1-A742-DAED2FBCE51B}">
    <xltc:text>All fixed compensation is assigned to the management-fee business, consistent with treating disclosed performance-fee compensation as variable. ($481m management compensation less $274m fixed) / $1,077m net management fees = variable management compensation ratio.</xltc:text>
  </xltc:threadedComment>
  <xltc:threadedComment ref="D52" dT="2026-09-14T16:33:13.87" personId="{E318F780-FD6E-4553-A307-152AE3F8479B}" id="{0EFBCE22-A056-4A37-9930-C6491BACCF46}">
    <xltc:text>Company groups seed investment gains with performance-fee profits. Allocate disclosed $194m performance-fee compensation across $281m fees plus $38m seed gains at one 2025 participation ratio. This is a model attribution. A zero fee scenario removes the fee-linked compensation; seed-linked compensation remains with the seed gain assumption.</xltc:text>
  </xltc:threadedComment>
  <xltc:threadedComment ref="D53" dT="2026-09-14T16:33:13.87" personId="{E318F780-FD6E-4553-A307-152AE3F8479B}" id="{32FF70A8-0AE0-4555-93E4-4829463A88E9}">
    <xltc:text>Calibrated blended servicing cost per dollar of midpoint total AUM. Company quotes around 5bp on a narrower AUM perimeter excluding systematic long-only; applying 5bp to total AUM would overstate costs. This blended rate assumes a stable servicing mix.</xltc:text>
  </xltc:threadedComment>
  <xltc:threadedComment ref="D56" dT="2026-09-14T16:33:13.87" personId="{E318F780-FD6E-4553-A307-152AE3F8479B}" id="{CD45BCBD-1572-4B49-A496-EE34E6284B4C}">
    <xltc:text>Use unrounded ratio $86m/$407m, approximately 21.13%, rather than rounded published 21%. Apply to forecast quarters only; actual H1 2026 tax and shares stay reported.</xltc:text>
  </xltc:threadedComment>
  <xltc:threadedComment ref="D57" dT="2026-09-14T16:33:13.87" personId="{E318F780-FD6E-4553-A307-152AE3F8479B}" id="{65509F12-7167-4AA2-8793-4CC2F2D67EDF}">
    <xltc:text>Hold base-year diluted weighted-average shares at 1,164.877368 million for forecast quarters. No incremental buyback or issuance is assumed; FY2026 averages actual H1 shares with this H2 forecast.</xltc:text>
  </xltc:threadedComment>
  <xltc:threadedComment ref="D64" dT="2026-09-14T16:33:13.87" personId="{E318F780-FD6E-4553-A307-152AE3F8479B}" id="{86E226C9-E3FD-4081-B46E-C55CBE336BEA}">
    <xltc:text>Seed-book funding remains at 2025 annual expense / 4, including in the zero-performance-fee case, because seed investment exposure is held unchanged.</xltc:text>
  </xltc:threadedComment>
</xltc:ThreadedComments>
</file>

<file path=xl/threadedcomments/threadedcomment2.xml><?xml version="1.0" encoding="utf-8"?>
<xltc:ThreadedComments xmlns:xltc="http://schemas.microsoft.com/office/spreadsheetml/2018/threadedcomments">
  <xltc:threadedComment ref="H13" dT="2026-09-14T16:33:13.88" personId="{E318F780-FD6E-4553-A307-152AE3F8479B}" id="{CDBEA398-A87B-42B5-AD35-F3EFE4D09F9A}">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I13" dT="2026-09-14T16:33:13.88" personId="{E318F780-FD6E-4553-A307-152AE3F8479B}" id="{B0FDDE5E-33B2-408F-96E2-3735FDEF93F1}">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J13" dT="2026-09-14T16:33:13.88" personId="{E318F780-FD6E-4553-A307-152AE3F8479B}" id="{F2F4C977-6DEA-4976-8DED-74718DA428B4}">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K13" dT="2026-09-14T16:33:13.88" personId="{E318F780-FD6E-4553-A307-152AE3F8479B}" id="{276E7B68-75C7-4D53-95C4-DF7FFCFF7955}">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L13" dT="2026-09-14T16:32:36.76" personId="{E318F780-FD6E-4553-A307-152AE3F8479B}" id="{4DEDCDD7-B36D-416F-8471-BEB418A7E277}">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M13" dT="2026-09-14T16:33:13.88" personId="{E318F780-FD6E-4553-A307-152AE3F8479B}" id="{80901E30-2508-42F2-9B6B-C949BA11BEC8}">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N13" dT="2026-09-14T16:33:13.88" personId="{E318F780-FD6E-4553-A307-152AE3F8479B}" id="{BEA9853A-0C73-4500-A479-B138DD523D21}">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O13" dT="2026-09-14T16:33:13.88" personId="{E318F780-FD6E-4553-A307-152AE3F8479B}" id="{429FE215-296E-4018-B00C-6A631CCA5B5C}">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H15" dT="2026-09-14T16:33:13.88" personId="{E318F780-FD6E-4553-A307-152AE3F8479B}" id="{5A22C8DB-D5F4-45A8-BAD3-807CBD934D74}">
    <xltc:text>FY2024 disclosed $2.1bn of maturities/realisations. Timing is not disclosed: allocate evenly across four quarters; retain the exact quarterly total other bucket using a residual other line.</xltc:text>
  </xltc:threadedComment>
  <xltc:threadedComment ref="I15" dT="2026-09-14T16:33:13.88" personId="{E318F780-FD6E-4553-A307-152AE3F8479B}" id="{62A5B251-23DF-4ADB-91C2-4C015C6CD153}">
    <xltc:text>FY2024 disclosed $2.1bn of maturities/realisations. Timing is not disclosed: allocate evenly across four quarters; retain the exact quarterly total other bucket using a residual other line.</xltc:text>
  </xltc:threadedComment>
  <xltc:threadedComment ref="J15" dT="2026-09-14T16:33:13.88" personId="{E318F780-FD6E-4553-A307-152AE3F8479B}" id="{ED707D1E-5FA7-46B7-B4CE-A1E728DE8662}">
    <xltc:text>FY2024 disclosed $2.1bn of maturities/realisations. Timing is not disclosed: allocate evenly across four quarters; retain the exact quarterly total other bucket using a residual other line.</xltc:text>
  </xltc:threadedComment>
  <xltc:threadedComment ref="K15" dT="2026-09-14T16:33:13.88" personId="{E318F780-FD6E-4553-A307-152AE3F8479B}" id="{1D1AFE4F-BC2D-4828-B880-9BF477D6A632}">
    <xltc:text>FY2024 disclosed $2.1bn of maturities/realisations. Timing is not disclosed: allocate evenly across four quarters; retain the exact quarterly total other bucket using a residual other line.</xltc:text>
  </xltc:threadedComment>
  <xltc:threadedComment ref="D26" dT="2026-09-14T16:33:13.88" personId="{E318F780-FD6E-4553-A307-152AE3F8479B}" id="{504353C4-64AA-497F-9BF0-60DDD5B988B0}">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E26" dT="2026-09-14T16:32:36.75" personId="{E318F780-FD6E-4553-A307-152AE3F8479B}" id="{CC41711F-995B-4B59-9724-83F999910457}">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F26" dT="2026-09-14T16:33:13.88" personId="{E318F780-FD6E-4553-A307-152AE3F8479B}" id="{A6371CA5-F33F-4E53-87EA-AE3084CF521E}">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G26" dT="2026-09-14T16:33:13.88" personId="{E318F780-FD6E-4553-A307-152AE3F8479B}" id="{76F46779-58E4-4826-8D2E-530FEB1770C4}">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H26" dT="2026-09-14T16:33:13.88" personId="{E318F780-FD6E-4553-A307-152AE3F8479B}" id="{B0F7780E-A036-42B0-8AA7-8AA403D3E040}">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I26" dT="2026-09-14T16:33:13.88" personId="{E318F780-FD6E-4553-A307-152AE3F8479B}" id="{73DF9FF1-DFB3-499A-B10C-6FCE23A94B33}">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J26" dT="2026-09-14T16:33:13.88" personId="{E318F780-FD6E-4553-A307-152AE3F8479B}" id="{494DC3C8-2796-40DF-87DE-12190BA64EC8}">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K26" dT="2026-09-14T16:33:13.88" personId="{E318F780-FD6E-4553-A307-152AE3F8479B}" id="{135E8D6C-A270-49F7-940D-253A3407AF24}">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L26" dT="2026-09-14T16:32:36.76" personId="{E318F780-FD6E-4553-A307-152AE3F8479B}" id="{60F95891-594C-4F78-9F79-39DCDB7C8D7A}">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M26" dT="2026-09-14T16:33:13.88" personId="{E318F780-FD6E-4553-A307-152AE3F8479B}" id="{AC915DDC-F7C0-4167-AC50-32A951C85312}">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N26" dT="2026-09-14T16:33:13.88" personId="{E318F780-FD6E-4553-A307-152AE3F8479B}" id="{76F830D2-B112-4B9F-B1D6-F805C99922FC}">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O26" dT="2026-09-14T16:33:13.88" personId="{E318F780-FD6E-4553-A307-152AE3F8479B}" id="{95A7311D-FA8E-4B9A-A44F-37191726F4AF}">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P26" dT="2026-09-14T16:33:13.88" personId="{E318F780-FD6E-4553-A307-152AE3F8479B}" id="{F528DE82-9DF0-41E1-A733-4D68E425D096}">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Q26" dT="2026-09-14T16:33:13.88" personId="{E318F780-FD6E-4553-A307-152AE3F8479B}" id="{FEE1BAF1-EF62-4DD7-9137-0C95E2AC4C62}">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D27" dT="2026-09-14T16:33:13.88" personId="{E318F780-FD6E-4553-A307-152AE3F8479B}" id="{E7915B02-B609-4285-A7FC-092F241B45B5}">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E27" dT="2026-09-14T16:32:36.75" personId="{E318F780-FD6E-4553-A307-152AE3F8479B}" id="{FB22CC4A-6720-4A90-B232-13088DC2A665}">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F27" dT="2026-09-14T16:33:13.88" personId="{E318F780-FD6E-4553-A307-152AE3F8479B}" id="{9C8AC854-930F-418B-B10E-8D1DBCC191F2}">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G27" dT="2026-09-14T16:33:13.88" personId="{E318F780-FD6E-4553-A307-152AE3F8479B}" id="{B460E999-37D1-4CD7-AFC2-4985710ACFD5}">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H27" dT="2026-09-14T16:33:13.88" personId="{E318F780-FD6E-4553-A307-152AE3F8479B}" id="{FB19E5D7-1B4E-4A5B-86D7-B1AA23E5FCFC}">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I27" dT="2026-09-14T16:33:13.88" personId="{E318F780-FD6E-4553-A307-152AE3F8479B}" id="{9058BD93-430A-431B-886C-9A4F19BBA3D2}">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J27" dT="2026-09-14T16:33:13.88" personId="{E318F780-FD6E-4553-A307-152AE3F8479B}" id="{9C180493-AABB-4B91-A9AA-09B5F7627B98}">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K27" dT="2026-09-14T16:33:13.88" personId="{E318F780-FD6E-4553-A307-152AE3F8479B}" id="{7122B149-84C7-4533-91A9-121B33BD2BB0}">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L27" dT="2026-09-14T16:32:36.76" personId="{E318F780-FD6E-4553-A307-152AE3F8479B}" id="{F44AADBF-964B-460C-9322-ABC03A9EDB58}">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M27" dT="2026-09-14T16:33:13.88" personId="{E318F780-FD6E-4553-A307-152AE3F8479B}" id="{4B656B23-E729-4BDF-B8D2-EF6CB30D6154}">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N27" dT="2026-09-14T16:33:13.88" personId="{E318F780-FD6E-4553-A307-152AE3F8479B}" id="{06D771BB-DB19-4ADF-824D-A24BA63350FC}">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O27" dT="2026-09-14T16:33:13.88" personId="{E318F780-FD6E-4553-A307-152AE3F8479B}" id="{49CF4BF3-4021-4AEF-A012-C64E67B39B5F}">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P27" dT="2026-09-14T16:33:13.88" personId="{E318F780-FD6E-4553-A307-152AE3F8479B}" id="{92731F40-E21C-49DA-B050-60028E5158D4}">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Q27" dT="2026-09-14T16:33:13.88" personId="{E318F780-FD6E-4553-A307-152AE3F8479B}" id="{848EC7D1-27EF-4739-977E-AF9534B53769}">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R27" dT="2026-09-14T16:33:13.88" personId="{E318F780-FD6E-4553-A307-152AE3F8479B}" id="{77F513D3-29E2-4707-B412-DF96757AD4F9}">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S27" dT="2026-09-14T16:33:13.88" personId="{E318F780-FD6E-4553-A307-152AE3F8479B}" id="{2CFEAE2F-9CC3-4F12-81E0-C9FAAF7448C0}">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T27" dT="2026-09-14T16:32:36.77" personId="{E318F780-FD6E-4553-A307-152AE3F8479B}" id="{49F2188A-07C8-42EE-B103-7574446B6774}">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U27" dT="2026-09-14T16:33:13.88" personId="{E318F780-FD6E-4553-A307-152AE3F8479B}" id="{8705414B-3BEF-4FFD-A063-8FEAF96952C3}">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V27" dT="2026-09-14T16:33:13.88" personId="{E318F780-FD6E-4553-A307-152AE3F8479B}" id="{DFF262ED-6C1E-462D-930D-1700E90C6795}">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W27" dT="2026-09-14T16:33:13.88" personId="{E318F780-FD6E-4553-A307-152AE3F8479B}" id="{53DCF9A0-A16B-4331-BF80-2648FD8A8FD8}">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D28" dT="2026-09-14T16:33:13.88" personId="{E318F780-FD6E-4553-A307-152AE3F8479B}" id="{B28F53C0-486E-4323-9EA4-4239ECCB1D31}">
    <xltc:text>Estimated quarter: 10% of reported H1 performance fees under the editable allocation assumption. Includes earned carried interest where classified in this fee stream; no separate quarterly split is disclosed.</xltc:text>
  </xltc:threadedComment>
  <xltc:threadedComment ref="E28" dT="2026-09-14T16:32:36.75" personId="{E318F780-FD6E-4553-A307-152AE3F8479B}" id="{9816D617-9022-43F6-8D80-90CA65AB6A3C}">
    <xltc:text>Estimated quarter: 90% of reported H1 performance fees under the editable allocation assumption. Includes earned carried interest where classified in this fee stream; no separate quarterly split is disclosed.</xltc:text>
  </xltc:threadedComment>
  <xltc:threadedComment ref="F28" dT="2026-09-14T16:33:13.88" personId="{E318F780-FD6E-4553-A307-152AE3F8479B}" id="{6E52B917-909F-4B01-82CC-F53A3361CC00}">
    <xltc:text>Estimated quarter: 10% of reported FY less H1 performance fees under the editable allocation assumption. Includes earned carried interest where classified in this fee stream; no separate quarterly split is disclosed.</xltc:text>
  </xltc:threadedComment>
  <xltc:threadedComment ref="G28" dT="2026-09-14T16:33:13.88" personId="{E318F780-FD6E-4553-A307-152AE3F8479B}" id="{E0CA5B2D-58E4-4042-9D22-89F520C12D79}">
    <xltc:text>Estimated quarter: 90% of reported FY less H1 performance fees under the editable allocation assumption. Includes earned carried interest where classified in this fee stream; no separate quarterly split is disclosed.</xltc:text>
  </xltc:threadedComment>
  <xltc:threadedComment ref="H28" dT="2026-09-14T16:33:13.88" personId="{E318F780-FD6E-4553-A307-152AE3F8479B}" id="{852D9A22-5ED4-4297-B476-95E962AFBE14}">
    <xltc:text>Estimated quarter: 10% of reported H1 performance fees under the editable allocation assumption. Includes earned carried interest where classified in this fee stream; no separate quarterly split is disclosed.</xltc:text>
  </xltc:threadedComment>
  <xltc:threadedComment ref="I28" dT="2026-09-14T16:33:13.88" personId="{E318F780-FD6E-4553-A307-152AE3F8479B}" id="{7F4FAF32-8D8D-4DD7-AB86-CAD2AFB66E57}">
    <xltc:text>Estimated quarter: 90% of reported H1 performance fees under the editable allocation assumption. Includes earned carried interest where classified in this fee stream; no separate quarterly split is disclosed.</xltc:text>
  </xltc:threadedComment>
  <xltc:threadedComment ref="J28" dT="2026-09-14T16:33:13.88" personId="{E318F780-FD6E-4553-A307-152AE3F8479B}" id="{DC28E265-D571-4CE3-88AE-F1319DF25AB9}">
    <xltc:text>Estimated quarter: 10% of reported FY less H1 performance fees under the editable allocation assumption. Includes earned carried interest where classified in this fee stream; no separate quarterly split is disclosed.</xltc:text>
  </xltc:threadedComment>
  <xltc:threadedComment ref="K28" dT="2026-09-14T16:33:13.88" personId="{E318F780-FD6E-4553-A307-152AE3F8479B}" id="{82766DE5-8A90-485E-88AC-8C18E46C8E32}">
    <xltc:text>Estimated quarter: 90% of reported FY less H1 performance fees under the editable allocation assumption. Includes earned carried interest where classified in this fee stream; no separate quarterly split is disclosed.</xltc:text>
  </xltc:threadedComment>
  <xltc:threadedComment ref="L28" dT="2026-09-14T16:32:36.76" personId="{E318F780-FD6E-4553-A307-152AE3F8479B}" id="{996A2051-7D91-4685-B885-C14759D71C47}">
    <xltc:text>Estimated quarter: 10% of reported H1 performance fees under the editable allocation assumption. Includes earned carried interest where classified in this fee stream; no separate quarterly split is disclosed.</xltc:text>
  </xltc:threadedComment>
  <xltc:threadedComment ref="M28" dT="2026-09-14T16:33:13.88" personId="{E318F780-FD6E-4553-A307-152AE3F8479B}" id="{60F69169-1E74-44E0-967C-168C528EB13C}">
    <xltc:text>Estimated quarter: 90% of reported H1 performance fees under the editable allocation assumption. Includes earned carried interest where classified in this fee stream; no separate quarterly split is disclosed.</xltc:text>
  </xltc:threadedComment>
  <xltc:threadedComment ref="N28" dT="2026-09-14T16:33:13.88" personId="{E318F780-FD6E-4553-A307-152AE3F8479B}" id="{2018AB70-4E29-4DD6-8905-3F3A266C16A1}">
    <xltc:text>Estimated quarter: 10% of reported FY less H1 performance fees under the editable allocation assumption. Includes earned carried interest where classified in this fee stream; no separate quarterly split is disclosed.</xltc:text>
  </xltc:threadedComment>
  <xltc:threadedComment ref="O28" dT="2026-09-14T16:33:13.88" personId="{E318F780-FD6E-4553-A307-152AE3F8479B}" id="{FECCCA5B-FBEF-4ED7-A7CE-818B9B715666}">
    <xltc:text>Estimated quarter: 90% of reported FY less H1 performance fees under the editable allocation assumption. Includes earned carried interest where classified in this fee stream; no separate quarterly split is disclosed.</xltc:text>
  </xltc:threadedComment>
  <xltc:threadedComment ref="P28" dT="2026-09-14T16:33:13.88" personId="{E318F780-FD6E-4553-A307-152AE3F8479B}" id="{0A238D02-B5B2-481E-8E9A-1DB03A35A15D}">
    <xltc:text>Estimated quarter: 10% of reported H1 performance fees under the editable allocation assumption. Includes earned carried interest where classified in this fee stream; no separate quarterly split is disclosed.</xltc:text>
  </xltc:threadedComment>
  <xltc:threadedComment ref="Q28" dT="2026-09-14T16:33:13.88" personId="{E318F780-FD6E-4553-A307-152AE3F8479B}" id="{98F88CE0-B5FB-48CF-97EF-83E5721978DD}">
    <xltc:text>Estimated quarter: 90% of reported H1 performance fees under the editable allocation assumption. Includes earned carried interest where classified in this fee stream; no separate quarterly split is disclosed.</xltc:text>
  </xltc:threadedComment>
  <xltc:threadedComment ref="D29" dT="2026-09-14T16:33:13.88" personId="{E318F780-FD6E-4553-A307-152AE3F8479B}" id="{387C1376-44DE-4733-882C-7D153DA2E3A3}">
    <xltc:text>Estimated quarter: one-half of the H1 reported period flow. FY less H1 is used only for additive flows; costs shown as deductions.</xltc:text>
  </xltc:threadedComment>
  <xltc:threadedComment ref="E29" dT="2026-09-14T16:32:36.75" personId="{E318F780-FD6E-4553-A307-152AE3F8479B}" id="{0B9183E6-955A-4D5F-9D63-69147657C5EF}">
    <xltc:text>Estimated quarter: one-half of the H1 reported period flow. FY less H1 is used only for additive flows; costs shown as deductions.</xltc:text>
  </xltc:threadedComment>
  <xltc:threadedComment ref="F29" dT="2026-09-14T16:33:13.88" personId="{E318F780-FD6E-4553-A307-152AE3F8479B}" id="{B4DE6BC0-661B-400E-9A00-AFB7BA55A893}">
    <xltc:text>Estimated quarter: one-half of the FY less H1 reported period flow. FY less H1 is used only for additive flows; costs shown as deductions.</xltc:text>
  </xltc:threadedComment>
  <xltc:threadedComment ref="G29" dT="2026-09-14T16:33:13.88" personId="{E318F780-FD6E-4553-A307-152AE3F8479B}" id="{63A6945A-2160-4619-89C7-0DB4C638DD35}">
    <xltc:text>Estimated quarter: one-half of the FY less H1 reported period flow. FY less H1 is used only for additive flows; costs shown as deductions.</xltc:text>
  </xltc:threadedComment>
  <xltc:threadedComment ref="H29" dT="2026-09-14T16:33:13.88" personId="{E318F780-FD6E-4553-A307-152AE3F8479B}" id="{7EC18440-F69C-46A5-9F9C-F09755AB2C1C}">
    <xltc:text>Estimated quarter: one-half of the H1 reported period flow. FY less H1 is used only for additive flows; costs shown as deductions.</xltc:text>
  </xltc:threadedComment>
  <xltc:threadedComment ref="I29" dT="2026-09-14T16:33:13.88" personId="{E318F780-FD6E-4553-A307-152AE3F8479B}" id="{DF9DC8F2-5BD1-4FD2-AADB-7732C5CD8BE9}">
    <xltc:text>Estimated quarter: one-half of the H1 reported period flow. FY less H1 is used only for additive flows; costs shown as deductions.</xltc:text>
  </xltc:threadedComment>
  <xltc:threadedComment ref="J29" dT="2026-09-14T16:33:13.88" personId="{E318F780-FD6E-4553-A307-152AE3F8479B}" id="{C832E1B3-2654-4688-856A-456B2BD870EB}">
    <xltc:text>Estimated quarter: one-half of the FY less H1 reported period flow. FY less H1 is used only for additive flows; costs shown as deductions.</xltc:text>
  </xltc:threadedComment>
  <xltc:threadedComment ref="K29" dT="2026-09-14T16:33:13.88" personId="{E318F780-FD6E-4553-A307-152AE3F8479B}" id="{845C8A25-B55D-474B-9D95-8586253BE882}">
    <xltc:text>Estimated quarter: one-half of the FY less H1 reported period flow. FY less H1 is used only for additive flows; costs shown as deductions.</xltc:text>
  </xltc:threadedComment>
  <xltc:threadedComment ref="L29" dT="2026-09-14T16:32:36.76" personId="{E318F780-FD6E-4553-A307-152AE3F8479B}" id="{C9CE45F5-622D-4530-BF4D-D5D1FE0AAC67}">
    <xltc:text>Estimated quarter: one-half of the H1 reported period flow. FY less H1 is used only for additive flows; costs shown as deductions.</xltc:text>
  </xltc:threadedComment>
  <xltc:threadedComment ref="M29" dT="2026-09-14T16:33:13.88" personId="{E318F780-FD6E-4553-A307-152AE3F8479B}" id="{BE612031-8B71-46E1-A677-3948A2DD5DF6}">
    <xltc:text>Estimated quarter: one-half of the H1 reported period flow. FY less H1 is used only for additive flows; costs shown as deductions.</xltc:text>
  </xltc:threadedComment>
  <xltc:threadedComment ref="N29" dT="2026-09-14T16:33:13.88" personId="{E318F780-FD6E-4553-A307-152AE3F8479B}" id="{181FF860-3A88-4592-88AD-05DE35CE76F5}">
    <xltc:text>Estimated quarter: one-half of the FY less H1 reported period flow. FY less H1 is used only for additive flows; costs shown as deductions.</xltc:text>
  </xltc:threadedComment>
  <xltc:threadedComment ref="O29" dT="2026-09-14T16:33:13.88" personId="{E318F780-FD6E-4553-A307-152AE3F8479B}" id="{C2A2B71A-7EE4-43A9-A68C-97B0C465C984}">
    <xltc:text>Estimated quarter: one-half of the FY less H1 reported period flow. FY less H1 is used only for additive flows; costs shown as deductions.</xltc:text>
  </xltc:threadedComment>
  <xltc:threadedComment ref="P29" dT="2026-09-14T16:33:13.88" personId="{E318F780-FD6E-4553-A307-152AE3F8479B}" id="{FCD37828-12AE-4502-954E-85EAFDDAE799}">
    <xltc:text>Estimated quarter: one-half of the H1 reported period flow. FY less H1 is used only for additive flows; costs shown as deductions.</xltc:text>
  </xltc:threadedComment>
  <xltc:threadedComment ref="Q29" dT="2026-09-14T16:33:13.88" personId="{E318F780-FD6E-4553-A307-152AE3F8479B}" id="{74A1B556-4C20-4703-BBDC-A825C3DCA3DC}">
    <xltc:text>Estimated quarter: one-half of the H1 reported period flow. FY less H1 is used only for additive flows; costs shown as deductions.</xltc:text>
  </xltc:threadedComment>
  <xltc:threadedComment ref="D30" dT="2026-09-14T16:33:13.88" personId="{E318F780-FD6E-4553-A307-152AE3F8479B}" id="{C5E0A99D-292B-4CC3-BC82-F97CDC19E7AF}">
    <xltc:text>Estimated quarter: one-half of the H1 reported period flow. FY less H1 is used only for additive flows; costs shown as deductions.</xltc:text>
  </xltc:threadedComment>
  <xltc:threadedComment ref="E30" dT="2026-09-14T16:32:36.75" personId="{E318F780-FD6E-4553-A307-152AE3F8479B}" id="{4511C223-3D88-4324-943F-05DE5965E9EF}">
    <xltc:text>Estimated quarter: one-half of the H1 reported period flow. FY less H1 is used only for additive flows; costs shown as deductions.</xltc:text>
  </xltc:threadedComment>
  <xltc:threadedComment ref="F30" dT="2026-09-14T16:33:13.88" personId="{E318F780-FD6E-4553-A307-152AE3F8479B}" id="{F2B55574-73A0-4E99-8920-D1BE545CEADA}">
    <xltc:text>Estimated quarter: one-half of the FY less H1 reported period flow. FY less H1 is used only for additive flows; costs shown as deductions.</xltc:text>
  </xltc:threadedComment>
  <xltc:threadedComment ref="G30" dT="2026-09-14T16:33:13.88" personId="{E318F780-FD6E-4553-A307-152AE3F8479B}" id="{E3AA4A42-8EC5-48B7-9983-E3F1D1ED6532}">
    <xltc:text>Estimated quarter: one-half of the FY less H1 reported period flow. FY less H1 is used only for additive flows; costs shown as deductions.</xltc:text>
  </xltc:threadedComment>
  <xltc:threadedComment ref="H30" dT="2026-09-14T16:33:13.88" personId="{E318F780-FD6E-4553-A307-152AE3F8479B}" id="{DF7C1280-7242-4023-80F8-B1C236449BA9}">
    <xltc:text>Estimated quarter: one-half of the H1 reported period flow. FY less H1 is used only for additive flows; costs shown as deductions.</xltc:text>
  </xltc:threadedComment>
  <xltc:threadedComment ref="I30" dT="2026-09-14T16:33:13.88" personId="{E318F780-FD6E-4553-A307-152AE3F8479B}" id="{1A9D1B19-4DBE-42A0-A1BB-798F398907EA}">
    <xltc:text>Estimated quarter: one-half of the H1 reported period flow. FY less H1 is used only for additive flows; costs shown as deductions.</xltc:text>
  </xltc:threadedComment>
  <xltc:threadedComment ref="J30" dT="2026-09-14T16:33:13.88" personId="{E318F780-FD6E-4553-A307-152AE3F8479B}" id="{A10DA57A-3BAB-41C8-AA2B-2122630CC187}">
    <xltc:text>Estimated quarter: one-half of the FY less H1 reported period flow. FY less H1 is used only for additive flows; costs shown as deductions.</xltc:text>
  </xltc:threadedComment>
  <xltc:threadedComment ref="K30" dT="2026-09-14T16:33:13.88" personId="{E318F780-FD6E-4553-A307-152AE3F8479B}" id="{A14AC5B1-D683-41B4-9760-95995468839E}">
    <xltc:text>Estimated quarter: one-half of the FY less H1 reported period flow. FY less H1 is used only for additive flows; costs shown as deductions.</xltc:text>
  </xltc:threadedComment>
  <xltc:threadedComment ref="L30" dT="2026-09-14T16:32:36.76" personId="{E318F780-FD6E-4553-A307-152AE3F8479B}" id="{E6FDC7DB-84F2-4F89-B243-3103DDA89E98}">
    <xltc:text>Estimated quarter: one-half of the H1 reported period flow. FY less H1 is used only for additive flows; costs shown as deductions.</xltc:text>
  </xltc:threadedComment>
  <xltc:threadedComment ref="M30" dT="2026-09-14T16:33:13.88" personId="{E318F780-FD6E-4553-A307-152AE3F8479B}" id="{5FA5B884-9E53-42E0-8EE7-C8F751ECBEA0}">
    <xltc:text>Estimated quarter: one-half of the H1 reported period flow. FY less H1 is used only for additive flows; costs shown as deductions.</xltc:text>
  </xltc:threadedComment>
  <xltc:threadedComment ref="N30" dT="2026-09-14T16:33:13.88" personId="{E318F780-FD6E-4553-A307-152AE3F8479B}" id="{3FA8A3EB-D5A3-4B20-A182-B149E18CB7FD}">
    <xltc:text>Estimated quarter: one-half of the FY less H1 reported period flow. FY less H1 is used only for additive flows; costs shown as deductions.</xltc:text>
  </xltc:threadedComment>
  <xltc:threadedComment ref="O30" dT="2026-09-14T16:33:13.88" personId="{E318F780-FD6E-4553-A307-152AE3F8479B}" id="{394BE311-AC96-4C0A-8C2F-887C6002D72B}">
    <xltc:text>Estimated quarter: one-half of the FY less H1 reported period flow. FY less H1 is used only for additive flows; costs shown as deductions.</xltc:text>
  </xltc:threadedComment>
  <xltc:threadedComment ref="P30" dT="2026-09-14T16:33:13.88" personId="{E318F780-FD6E-4553-A307-152AE3F8479B}" id="{7D7275BD-80F8-4DE6-96B3-A9FE89EEA0CF}">
    <xltc:text>Estimated quarter: one-half of the H1 reported period flow. FY less H1 is used only for additive flows; costs shown as deductions.</xltc:text>
  </xltc:threadedComment>
  <xltc:threadedComment ref="Q30" dT="2026-09-14T16:33:13.88" personId="{E318F780-FD6E-4553-A307-152AE3F8479B}" id="{705C259E-8F78-428E-B61B-7E23E3ACC551}">
    <xltc:text>Estimated quarter: one-half of the H1 reported period flow. FY less H1 is used only for additive flows; costs shown as deductions.</xltc:text>
  </xltc:threadedComment>
  <xltc:threadedComment ref="D34" dT="2026-09-14T16:33:13.88" personId="{E318F780-FD6E-4553-A307-152AE3F8479B}" id="{0C7483C1-ACA7-4BED-97EA-643A5D854CBD}">
    <xltc:text>Estimated quarter: one-half of the H1 reported period flow. FY less H1 is used only for additive flows; costs shown as deductions.</xltc:text>
  </xltc:threadedComment>
  <xltc:threadedComment ref="E34" dT="2026-09-14T16:32:36.75" personId="{E318F780-FD6E-4553-A307-152AE3F8479B}" id="{4D5D516E-BFA3-4A7E-B630-20AFE0D4215D}">
    <xltc:text>Estimated quarter: one-half of the H1 reported period flow. FY less H1 is used only for additive flows; costs shown as deductions.</xltc:text>
  </xltc:threadedComment>
  <xltc:threadedComment ref="F34" dT="2026-09-14T16:33:13.88" personId="{E318F780-FD6E-4553-A307-152AE3F8479B}" id="{459AC59F-8298-4953-BC65-8DA104CDC31F}">
    <xltc:text>Estimated quarter: one-half of the FY less H1 reported period flow. FY less H1 is used only for additive flows; costs shown as deductions.</xltc:text>
  </xltc:threadedComment>
  <xltc:threadedComment ref="G34" dT="2026-09-14T16:33:13.88" personId="{E318F780-FD6E-4553-A307-152AE3F8479B}" id="{FFBD6B58-FA23-4D66-9523-85EC12DD399D}">
    <xltc:text>Estimated quarter: one-half of the FY less H1 reported period flow. FY less H1 is used only for additive flows; costs shown as deductions.</xltc:text>
  </xltc:threadedComment>
  <xltc:threadedComment ref="H34" dT="2026-09-14T16:33:13.88" personId="{E318F780-FD6E-4553-A307-152AE3F8479B}" id="{300D38E4-925C-44CB-8B98-07BF468177A7}">
    <xltc:text>Estimated quarter: one-half of the H1 reported period flow. FY less H1 is used only for additive flows; costs shown as deductions.</xltc:text>
  </xltc:threadedComment>
  <xltc:threadedComment ref="I34" dT="2026-09-14T16:33:13.88" personId="{E318F780-FD6E-4553-A307-152AE3F8479B}" id="{B28BC655-9591-4BC3-9BDE-5354C746FE95}">
    <xltc:text>Estimated quarter: one-half of the H1 reported period flow. FY less H1 is used only for additive flows; costs shown as deductions.</xltc:text>
  </xltc:threadedComment>
  <xltc:threadedComment ref="J34" dT="2026-09-14T16:33:13.88" personId="{E318F780-FD6E-4553-A307-152AE3F8479B}" id="{DCA8D290-6DD4-4005-89CA-7BDAD259278E}">
    <xltc:text>Estimated quarter: one-half of the FY less H1 reported period flow. FY less H1 is used only for additive flows; costs shown as deductions.</xltc:text>
  </xltc:threadedComment>
  <xltc:threadedComment ref="K34" dT="2026-09-14T16:33:13.88" personId="{E318F780-FD6E-4553-A307-152AE3F8479B}" id="{29124994-5B83-4587-9C01-08EA2561CC5E}">
    <xltc:text>Estimated quarter: one-half of the FY less H1 reported period flow. FY less H1 is used only for additive flows; costs shown as deductions.</xltc:text>
  </xltc:threadedComment>
  <xltc:threadedComment ref="L34" dT="2026-09-14T16:32:36.76" personId="{E318F780-FD6E-4553-A307-152AE3F8479B}" id="{3F5A6853-8DF5-4812-9AC0-795EAF07336A}">
    <xltc:text>Estimated quarter: one-half of the H1 reported period flow. FY less H1 is used only for additive flows; costs shown as deductions.</xltc:text>
  </xltc:threadedComment>
  <xltc:threadedComment ref="M34" dT="2026-09-14T16:33:13.88" personId="{E318F780-FD6E-4553-A307-152AE3F8479B}" id="{5B57672A-4620-425B-9BA1-6FD78DF3B9AA}">
    <xltc:text>Estimated quarter: one-half of the H1 reported period flow. FY less H1 is used only for additive flows; costs shown as deductions.</xltc:text>
  </xltc:threadedComment>
  <xltc:threadedComment ref="N34" dT="2026-09-14T16:33:13.88" personId="{E318F780-FD6E-4553-A307-152AE3F8479B}" id="{B100EF82-E684-464A-836C-7119DA64B9E1}">
    <xltc:text>Estimated quarter: one-half of the FY less H1 reported period flow. FY less H1 is used only for additive flows; costs shown as deductions.</xltc:text>
  </xltc:threadedComment>
  <xltc:threadedComment ref="O34" dT="2026-09-14T16:33:13.88" personId="{E318F780-FD6E-4553-A307-152AE3F8479B}" id="{CA61C48A-291F-4C6F-B1F8-58A03E711BE8}">
    <xltc:text>Estimated quarter: one-half of the FY less H1 reported period flow. FY less H1 is used only for additive flows; costs shown as deductions.</xltc:text>
  </xltc:threadedComment>
  <xltc:threadedComment ref="P34" dT="2026-09-14T16:33:13.88" personId="{E318F780-FD6E-4553-A307-152AE3F8479B}" id="{F28C6C7A-76C4-4BFA-B356-278551D0787E}">
    <xltc:text>Estimated quarter: one-half of the H1 reported period flow. FY less H1 is used only for additive flows; costs shown as deductions.</xltc:text>
  </xltc:threadedComment>
  <xltc:threadedComment ref="Q34" dT="2026-09-14T16:33:13.88" personId="{E318F780-FD6E-4553-A307-152AE3F8479B}" id="{44466051-0B5B-4BAB-8107-2CFECE3F5498}">
    <xltc:text>Estimated quarter: one-half of the H1 reported period flow. FY less H1 is used only for additive flows; costs shown as deductions.</xltc:text>
  </xltc:threadedComment>
  <xltc:threadedComment ref="D35" dT="2026-09-14T16:33:13.88" personId="{E318F780-FD6E-4553-A307-152AE3F8479B}" id="{3BFE885A-F293-47EC-87AC-F97A23291813}">
    <xltc:text>Estimated quarter: allocate H1 period costs by midpoint AUM share. Management variable compensation is disclosed management-fee compensation less disclosed fixed compensation.</xltc:text>
  </xltc:threadedComment>
  <xltc:threadedComment ref="E35" dT="2026-09-14T16:32:36.75" personId="{E318F780-FD6E-4553-A307-152AE3F8479B}" id="{6BF2C1D8-FDC3-4F6C-A213-AD6F79D805F0}">
    <xltc:text>Estimated quarter: allocate H1 period costs by midpoint AUM share. Management variable compensation is disclosed management-fee compensation less disclosed fixed compensation.</xltc:text>
  </xltc:threadedComment>
  <xltc:threadedComment ref="F35" dT="2026-09-14T16:33:13.88" personId="{E318F780-FD6E-4553-A307-152AE3F8479B}" id="{FCB945FC-1D22-40D8-9FEC-10543EC0859C}">
    <xltc:text>Estimated quarter: allocate FY less H1 period costs by midpoint AUM share. Management variable compensation is disclosed management-fee compensation less disclosed fixed compensation.</xltc:text>
  </xltc:threadedComment>
  <xltc:threadedComment ref="G35" dT="2026-09-14T16:33:13.88" personId="{E318F780-FD6E-4553-A307-152AE3F8479B}" id="{F6DB4947-A6BF-4EF4-A5A1-3FC6F8213885}">
    <xltc:text>Estimated quarter: allocate FY less H1 period costs by midpoint AUM share. Management variable compensation is disclosed management-fee compensation less disclosed fixed compensation.</xltc:text>
  </xltc:threadedComment>
  <xltc:threadedComment ref="H35" dT="2026-09-14T16:33:13.88" personId="{E318F780-FD6E-4553-A307-152AE3F8479B}" id="{D441C1B3-C4C1-433F-8780-7124C582132A}">
    <xltc:text>Estimated quarter: allocate H1 period costs by midpoint AUM share. Management variable compensation is disclosed management-fee compensation less disclosed fixed compensation.</xltc:text>
  </xltc:threadedComment>
  <xltc:threadedComment ref="I35" dT="2026-09-14T16:33:13.88" personId="{E318F780-FD6E-4553-A307-152AE3F8479B}" id="{8EB4E56E-7752-4001-A88E-5EF61A6982CF}">
    <xltc:text>Estimated quarter: allocate H1 period costs by midpoint AUM share. Management variable compensation is disclosed management-fee compensation less disclosed fixed compensation.</xltc:text>
  </xltc:threadedComment>
  <xltc:threadedComment ref="J35" dT="2026-09-14T16:33:13.88" personId="{E318F780-FD6E-4553-A307-152AE3F8479B}" id="{25467E83-2EE4-4D03-9C57-CC801D4C9A69}">
    <xltc:text>Estimated quarter: allocate FY less H1 period costs by midpoint AUM share. Management variable compensation is disclosed management-fee compensation less disclosed fixed compensation.</xltc:text>
  </xltc:threadedComment>
  <xltc:threadedComment ref="K35" dT="2026-09-14T16:33:13.88" personId="{E318F780-FD6E-4553-A307-152AE3F8479B}" id="{24D82B9B-80D4-414F-B947-D190283E8F12}">
    <xltc:text>Estimated quarter: allocate FY less H1 period costs by midpoint AUM share. Management variable compensation is disclosed management-fee compensation less disclosed fixed compensation.</xltc:text>
  </xltc:threadedComment>
  <xltc:threadedComment ref="L35" dT="2026-09-14T16:32:36.76" personId="{E318F780-FD6E-4553-A307-152AE3F8479B}" id="{2A276CAC-48D2-4A05-A67B-BDF497A01974}">
    <xltc:text>Estimated quarter: allocate H1 period costs by midpoint AUM share. Management variable compensation is disclosed management-fee compensation less disclosed fixed compensation.</xltc:text>
  </xltc:threadedComment>
  <xltc:threadedComment ref="M35" dT="2026-09-14T16:33:13.88" personId="{E318F780-FD6E-4553-A307-152AE3F8479B}" id="{949CD26B-9B55-4D6C-8106-20715CBE53D5}">
    <xltc:text>Estimated quarter: allocate H1 period costs by midpoint AUM share. Management variable compensation is disclosed management-fee compensation less disclosed fixed compensation.</xltc:text>
  </xltc:threadedComment>
  <xltc:threadedComment ref="N35" dT="2026-09-14T16:33:13.88" personId="{E318F780-FD6E-4553-A307-152AE3F8479B}" id="{E9D35F43-1D40-43A6-9215-EBBBB2F69E79}">
    <xltc:text>Estimated quarter: allocate FY less H1 period costs by midpoint AUM share. Management variable compensation is disclosed management-fee compensation less disclosed fixed compensation.</xltc:text>
  </xltc:threadedComment>
  <xltc:threadedComment ref="O35" dT="2026-09-14T16:33:13.88" personId="{E318F780-FD6E-4553-A307-152AE3F8479B}" id="{2C22667C-38DE-459F-94A4-F5E01151AB1F}">
    <xltc:text>Estimated quarter: allocate FY less H1 period costs by midpoint AUM share. Management variable compensation is disclosed management-fee compensation less disclosed fixed compensation.</xltc:text>
  </xltc:threadedComment>
  <xltc:threadedComment ref="P35" dT="2026-09-14T16:33:13.88" personId="{E318F780-FD6E-4553-A307-152AE3F8479B}" id="{4DA5C470-45DA-4DFD-B474-1E0556F79DF2}">
    <xltc:text>Estimated quarter: allocate H1 period costs by midpoint AUM share. Management variable compensation is disclosed management-fee compensation less disclosed fixed compensation.</xltc:text>
  </xltc:threadedComment>
  <xltc:threadedComment ref="Q35" dT="2026-09-14T16:33:13.88" personId="{E318F780-FD6E-4553-A307-152AE3F8479B}" id="{28465B0C-95AD-45AC-B426-AEE0E871063A}">
    <xltc:text>Estimated quarter: allocate H1 period costs by midpoint AUM share. Management variable compensation is disclosed management-fee compensation less disclosed fixed compensation.</xltc:text>
  </xltc:threadedComment>
  <xltc:threadedComment ref="D36" dT="2026-09-14T16:33:13.88" personId="{E318F780-FD6E-4553-A307-152AE3F8479B}" id="{69A424DE-5ECA-402A-A31E-7C3205CADF9C}">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E36" dT="2026-09-14T16:32:36.75" personId="{E318F780-FD6E-4553-A307-152AE3F8479B}" id="{C8DD3865-59BA-4776-8FF0-31713684651B}">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F36" dT="2026-09-14T16:33:13.88" personId="{E318F780-FD6E-4553-A307-152AE3F8479B}" id="{462286B0-EABB-48D7-8E4E-09C54901E22F}">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G36" dT="2026-09-14T16:33:13.88" personId="{E318F780-FD6E-4553-A307-152AE3F8479B}" id="{F0CF19B1-2051-4B7D-8178-BD3BA8D72671}">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H36" dT="2026-09-14T16:33:13.88" personId="{E318F780-FD6E-4553-A307-152AE3F8479B}" id="{22962F43-7F69-464C-B2C5-A782B78AF582}">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I36" dT="2026-09-14T16:33:13.88" personId="{E318F780-FD6E-4553-A307-152AE3F8479B}" id="{35912F44-22DF-4D4F-9A8F-44719D6442F4}">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J36" dT="2026-09-14T16:33:13.88" personId="{E318F780-FD6E-4553-A307-152AE3F8479B}" id="{51901AEE-6B95-40B9-84F2-1449984262AD}">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K36" dT="2026-09-14T16:33:13.88" personId="{E318F780-FD6E-4553-A307-152AE3F8479B}" id="{D698E4FF-ABD8-4867-8859-BDF60EAC2E27}">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L36" dT="2026-09-14T16:32:36.76" personId="{E318F780-FD6E-4553-A307-152AE3F8479B}" id="{B5C73332-99E5-44F1-9D90-8BE2FA2768BC}">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M36" dT="2026-09-14T16:33:13.88" personId="{E318F780-FD6E-4553-A307-152AE3F8479B}" id="{6EC716FB-D4F7-43D7-A722-F09C95823E81}">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N36" dT="2026-09-14T16:33:13.88" personId="{E318F780-FD6E-4553-A307-152AE3F8479B}" id="{9BCB135D-6DE0-4BC1-857A-B6144E59B952}">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O36" dT="2026-09-14T16:33:13.88" personId="{E318F780-FD6E-4553-A307-152AE3F8479B}" id="{9D3ABD58-530A-42E0-BCA6-835AD3E69734}">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P36" dT="2026-09-14T16:33:13.88" personId="{E318F780-FD6E-4553-A307-152AE3F8479B}" id="{294A057F-B2EB-49A5-989E-A70F3664562B}">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Q36" dT="2026-09-14T16:33:13.88" personId="{E318F780-FD6E-4553-A307-152AE3F8479B}" id="{A34E647E-368B-421A-AEA5-E8496DA8B539}">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D37" dT="2026-09-14T16:33:13.88" personId="{E318F780-FD6E-4553-A307-152AE3F8479B}" id="{45A025C7-A302-4455-B237-01C187B904A9}">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E37" dT="2026-09-14T16:32:36.75" personId="{E318F780-FD6E-4553-A307-152AE3F8479B}" id="{CF49B1CB-6DF2-4E2C-8924-6B1DC2340628}">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F37" dT="2026-09-14T16:33:13.88" personId="{E318F780-FD6E-4553-A307-152AE3F8479B}" id="{6790A9AD-D0BC-4EB2-8119-BAE38FCC0C21}">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G37" dT="2026-09-14T16:33:13.88" personId="{E318F780-FD6E-4553-A307-152AE3F8479B}" id="{D55F79A6-E2F1-4B1E-B129-1145D6940F74}">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H37" dT="2026-09-14T16:33:13.88" personId="{E318F780-FD6E-4553-A307-152AE3F8479B}" id="{9A87CC3F-6C40-4384-A6AF-C433E8B3A842}">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I37" dT="2026-09-14T16:33:13.88" personId="{E318F780-FD6E-4553-A307-152AE3F8479B}" id="{7F8A5ABC-3A07-40CB-B2A7-8879E5837C86}">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J37" dT="2026-09-14T16:33:13.88" personId="{E318F780-FD6E-4553-A307-152AE3F8479B}" id="{9C7B7306-970A-4E87-B3EB-8EC273D57188}">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K37" dT="2026-09-14T16:33:13.88" personId="{E318F780-FD6E-4553-A307-152AE3F8479B}" id="{92474FAA-CCD1-4DD9-A22F-F5DA99DAC083}">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L37" dT="2026-09-14T16:32:36.76" personId="{E318F780-FD6E-4553-A307-152AE3F8479B}" id="{5505FAB5-EB4B-4DD8-92C4-0E6286E0B4F6}">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M37" dT="2026-09-14T16:33:13.88" personId="{E318F780-FD6E-4553-A307-152AE3F8479B}" id="{C065CC3D-7C8B-43E0-958E-8611D9523BAF}">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N37" dT="2026-09-14T16:33:13.88" personId="{E318F780-FD6E-4553-A307-152AE3F8479B}" id="{45E017D5-4DB8-412C-A582-FF611FDE7F5E}">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O37" dT="2026-09-14T16:33:13.88" personId="{E318F780-FD6E-4553-A307-152AE3F8479B}" id="{5AACE94D-B5C0-4EC9-9AE5-868B38F312A6}">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P37" dT="2026-09-14T16:33:13.88" personId="{E318F780-FD6E-4553-A307-152AE3F8479B}" id="{BCEB6555-9DA6-4ED5-9E66-187B7597362A}">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Q37" dT="2026-09-14T16:33:13.88" personId="{E318F780-FD6E-4553-A307-152AE3F8479B}" id="{16695CDC-EDD6-483D-9C7A-B76F4504A457}">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D39" dT="2026-09-14T16:33:13.88" personId="{E318F780-FD6E-4553-A307-152AE3F8479B}" id="{49A3A87E-B4BC-4713-80B4-CC2E11BC2D35}">
    <xltc:text>Estimated quarter: allocate H1 period costs by midpoint AUM share. Management variable compensation is disclosed management-fee compensation less disclosed fixed compensation.</xltc:text>
  </xltc:threadedComment>
  <xltc:threadedComment ref="E39" dT="2026-09-14T16:32:36.75" personId="{E318F780-FD6E-4553-A307-152AE3F8479B}" id="{6D978448-B6E1-4779-BBDC-054D8DFEF20B}">
    <xltc:text>Estimated quarter: allocate H1 period costs by midpoint AUM share. Management variable compensation is disclosed management-fee compensation less disclosed fixed compensation.</xltc:text>
  </xltc:threadedComment>
  <xltc:threadedComment ref="F39" dT="2026-09-14T16:33:13.88" personId="{E318F780-FD6E-4553-A307-152AE3F8479B}" id="{0E19887B-3CBD-423E-B90D-6A4A4B8BEEFE}">
    <xltc:text>Estimated quarter: allocate FY less H1 period costs by midpoint AUM share. Management variable compensation is disclosed management-fee compensation less disclosed fixed compensation.</xltc:text>
  </xltc:threadedComment>
  <xltc:threadedComment ref="G39" dT="2026-09-14T16:33:13.88" personId="{E318F780-FD6E-4553-A307-152AE3F8479B}" id="{16E58226-23D1-42FD-9C6D-BB38C0DD1C28}">
    <xltc:text>Estimated quarter: allocate FY less H1 period costs by midpoint AUM share. Management variable compensation is disclosed management-fee compensation less disclosed fixed compensation.</xltc:text>
  </xltc:threadedComment>
  <xltc:threadedComment ref="H39" dT="2026-09-14T16:33:13.88" personId="{E318F780-FD6E-4553-A307-152AE3F8479B}" id="{77CCEABB-DDF6-40E3-B071-D0ED4F22F913}">
    <xltc:text>Estimated quarter: allocate H1 period costs by midpoint AUM share. Management variable compensation is disclosed management-fee compensation less disclosed fixed compensation.</xltc:text>
  </xltc:threadedComment>
  <xltc:threadedComment ref="I39" dT="2026-09-14T16:33:13.88" personId="{E318F780-FD6E-4553-A307-152AE3F8479B}" id="{BD756519-690D-428A-95B8-19DBD0092C90}">
    <xltc:text>Estimated quarter: allocate H1 period costs by midpoint AUM share. Management variable compensation is disclosed management-fee compensation less disclosed fixed compensation.</xltc:text>
  </xltc:threadedComment>
  <xltc:threadedComment ref="J39" dT="2026-09-14T16:33:13.88" personId="{E318F780-FD6E-4553-A307-152AE3F8479B}" id="{FE31C41C-9F6F-4648-ABC2-9C1C2F0503E9}">
    <xltc:text>Estimated quarter: allocate FY less H1 period costs by midpoint AUM share. Management variable compensation is disclosed management-fee compensation less disclosed fixed compensation.</xltc:text>
  </xltc:threadedComment>
  <xltc:threadedComment ref="K39" dT="2026-09-14T16:33:13.88" personId="{E318F780-FD6E-4553-A307-152AE3F8479B}" id="{C8054085-F8EC-4AB9-BD9B-299B4EDCCFF4}">
    <xltc:text>Estimated quarter: allocate FY less H1 period costs by midpoint AUM share. Management variable compensation is disclosed management-fee compensation less disclosed fixed compensation.</xltc:text>
  </xltc:threadedComment>
  <xltc:threadedComment ref="L39" dT="2026-09-14T16:32:36.76" personId="{E318F780-FD6E-4553-A307-152AE3F8479B}" id="{E7D9DD3E-4B74-47EB-B84F-2883DF0B065E}">
    <xltc:text>Estimated quarter: allocate H1 period costs by midpoint AUM share. Management variable compensation is disclosed management-fee compensation less disclosed fixed compensation.</xltc:text>
  </xltc:threadedComment>
  <xltc:threadedComment ref="M39" dT="2026-09-14T16:33:13.88" personId="{E318F780-FD6E-4553-A307-152AE3F8479B}" id="{5C045C40-226D-4AE8-B240-FFF39FA00DDB}">
    <xltc:text>Estimated quarter: allocate H1 period costs by midpoint AUM share. Management variable compensation is disclosed management-fee compensation less disclosed fixed compensation.</xltc:text>
  </xltc:threadedComment>
  <xltc:threadedComment ref="N39" dT="2026-09-14T16:33:13.88" personId="{E318F780-FD6E-4553-A307-152AE3F8479B}" id="{3975EF12-93C2-406F-8016-FD1B2EDA04C0}">
    <xltc:text>Estimated quarter: allocate FY less H1 period costs by midpoint AUM share. Management variable compensation is disclosed management-fee compensation less disclosed fixed compensation.</xltc:text>
  </xltc:threadedComment>
  <xltc:threadedComment ref="O39" dT="2026-09-14T16:33:13.88" personId="{E318F780-FD6E-4553-A307-152AE3F8479B}" id="{B01B3E09-907D-4221-996B-2B75FDAFD7C8}">
    <xltc:text>Estimated quarter: allocate FY less H1 period costs by midpoint AUM share. Management variable compensation is disclosed management-fee compensation less disclosed fixed compensation.</xltc:text>
  </xltc:threadedComment>
  <xltc:threadedComment ref="P39" dT="2026-09-14T16:33:13.88" personId="{E318F780-FD6E-4553-A307-152AE3F8479B}" id="{4ACC3201-EDA5-45EE-BADC-A30B0CCE9BA4}">
    <xltc:text>Estimated quarter: allocate H1 period costs by midpoint AUM share. Management variable compensation is disclosed management-fee compensation less disclosed fixed compensation.</xltc:text>
  </xltc:threadedComment>
  <xltc:threadedComment ref="Q39" dT="2026-09-14T16:33:13.88" personId="{E318F780-FD6E-4553-A307-152AE3F8479B}" id="{50087561-1B31-4946-8A2B-814239F6F598}">
    <xltc:text>Estimated quarter: allocate H1 period costs by midpoint AUM share. Management variable compensation is disclosed management-fee compensation less disclosed fixed compensation.</xltc:text>
  </xltc:threadedComment>
  <xltc:threadedComment ref="D40" dT="2026-09-14T16:33:13.88" personId="{E318F780-FD6E-4553-A307-152AE3F8479B}" id="{D19D49E1-EF3D-4B6F-9779-B4F70369FA4C}">
    <xltc:text>Estimated quarter: one-half of the H1 reported period flow. FY less H1 is used only for additive flows; costs shown as deductions.</xltc:text>
  </xltc:threadedComment>
  <xltc:threadedComment ref="E40" dT="2026-09-14T16:32:36.75" personId="{E318F780-FD6E-4553-A307-152AE3F8479B}" id="{F83B69D2-66BE-41A0-B454-02167939DBD9}">
    <xltc:text>Estimated quarter: one-half of the H1 reported period flow. FY less H1 is used only for additive flows; costs shown as deductions.</xltc:text>
  </xltc:threadedComment>
  <xltc:threadedComment ref="F40" dT="2026-09-14T16:33:13.88" personId="{E318F780-FD6E-4553-A307-152AE3F8479B}" id="{09F3D790-AC3F-4143-983A-1B60A14BD342}">
    <xltc:text>Estimated quarter: one-half of the FY less H1 reported period flow. FY less H1 is used only for additive flows; costs shown as deductions.</xltc:text>
  </xltc:threadedComment>
  <xltc:threadedComment ref="G40" dT="2026-09-14T16:33:13.88" personId="{E318F780-FD6E-4553-A307-152AE3F8479B}" id="{8E4976D2-06AE-410B-B574-A6EB6F76F718}">
    <xltc:text>Estimated quarter: one-half of the FY less H1 reported period flow. FY less H1 is used only for additive flows; costs shown as deductions.</xltc:text>
  </xltc:threadedComment>
  <xltc:threadedComment ref="H40" dT="2026-09-14T16:33:13.88" personId="{E318F780-FD6E-4553-A307-152AE3F8479B}" id="{ADD9F071-F4C9-412A-A065-2FDA79C757F9}">
    <xltc:text>Estimated quarter: one-half of the H1 reported period flow. FY less H1 is used only for additive flows; costs shown as deductions.</xltc:text>
  </xltc:threadedComment>
  <xltc:threadedComment ref="I40" dT="2026-09-14T16:33:13.88" personId="{E318F780-FD6E-4553-A307-152AE3F8479B}" id="{5EEDC709-998C-419B-B053-65BD93A8EB6B}">
    <xltc:text>Estimated quarter: one-half of the H1 reported period flow. FY less H1 is used only for additive flows; costs shown as deductions.</xltc:text>
  </xltc:threadedComment>
  <xltc:threadedComment ref="J40" dT="2026-09-14T16:33:13.88" personId="{E318F780-FD6E-4553-A307-152AE3F8479B}" id="{223CD6F7-2A53-465E-88BC-B937FE5009DE}">
    <xltc:text>Estimated quarter: one-half of the FY less H1 reported period flow. FY less H1 is used only for additive flows; costs shown as deductions.</xltc:text>
  </xltc:threadedComment>
  <xltc:threadedComment ref="K40" dT="2026-09-14T16:33:13.88" personId="{E318F780-FD6E-4553-A307-152AE3F8479B}" id="{F4E48961-6865-4004-BFAA-3E8B1AD7E5BE}">
    <xltc:text>Estimated quarter: one-half of the FY less H1 reported period flow. FY less H1 is used only for additive flows; costs shown as deductions.</xltc:text>
  </xltc:threadedComment>
  <xltc:threadedComment ref="L40" dT="2026-09-14T16:32:36.76" personId="{E318F780-FD6E-4553-A307-152AE3F8479B}" id="{FB73BB6A-E2C4-464B-A0E5-84DA3C62688F}">
    <xltc:text>Estimated quarter: one-half of the H1 reported period flow. FY less H1 is used only for additive flows; costs shown as deductions.</xltc:text>
  </xltc:threadedComment>
  <xltc:threadedComment ref="M40" dT="2026-09-14T16:33:13.88" personId="{E318F780-FD6E-4553-A307-152AE3F8479B}" id="{D1988D8A-49A2-4A96-8A84-0F22F362CC2D}">
    <xltc:text>Estimated quarter: one-half of the H1 reported period flow. FY less H1 is used only for additive flows; costs shown as deductions.</xltc:text>
  </xltc:threadedComment>
  <xltc:threadedComment ref="N40" dT="2026-09-14T16:33:13.88" personId="{E318F780-FD6E-4553-A307-152AE3F8479B}" id="{081F17D0-4855-4B76-BD8D-34E3F9747514}">
    <xltc:text>Estimated quarter: one-half of the FY less H1 reported period flow. FY less H1 is used only for additive flows; costs shown as deductions.</xltc:text>
  </xltc:threadedComment>
  <xltc:threadedComment ref="O40" dT="2026-09-14T16:33:13.88" personId="{E318F780-FD6E-4553-A307-152AE3F8479B}" id="{CDD103D8-732D-45CD-A6FF-1F1BFB91E1E7}">
    <xltc:text>Estimated quarter: one-half of the FY less H1 reported period flow. FY less H1 is used only for additive flows; costs shown as deductions.</xltc:text>
  </xltc:threadedComment>
  <xltc:threadedComment ref="P40" dT="2026-09-14T16:33:13.88" personId="{E318F780-FD6E-4553-A307-152AE3F8479B}" id="{68957FF4-E76F-44B3-998B-484FFB19D68B}">
    <xltc:text>Estimated quarter: one-half of the H1 reported period flow. FY less H1 is used only for additive flows; costs shown as deductions.</xltc:text>
  </xltc:threadedComment>
  <xltc:threadedComment ref="Q40" dT="2026-09-14T16:33:13.88" personId="{E318F780-FD6E-4553-A307-152AE3F8479B}" id="{F086696B-6333-4CD5-94E6-F8AE39E3ED72}">
    <xltc:text>Estimated quarter: one-half of the H1 reported period flow. FY less H1 is used only for additive flows; costs shown as deductions.</xltc:text>
  </xltc:threadedComment>
  <xltc:threadedComment ref="D41" dT="2026-09-14T16:33:13.88" personId="{E318F780-FD6E-4553-A307-152AE3F8479B}" id="{A599715B-AFC1-4611-90AA-3AB75564906F}">
    <xltc:text>Estimated quarter: one-half of the H1 reported period flow. FY less H1 is used only for additive flows; costs shown as deductions.</xltc:text>
  </xltc:threadedComment>
  <xltc:threadedComment ref="E41" dT="2026-09-14T16:32:36.75" personId="{E318F780-FD6E-4553-A307-152AE3F8479B}" id="{C6C114A3-E0DE-4158-9FAD-0D91CAC75230}">
    <xltc:text>Estimated quarter: one-half of the H1 reported period flow. FY less H1 is used only for additive flows; costs shown as deductions.</xltc:text>
  </xltc:threadedComment>
  <xltc:threadedComment ref="F41" dT="2026-09-14T16:33:13.88" personId="{E318F780-FD6E-4553-A307-152AE3F8479B}" id="{318D12C9-2DF5-450A-B905-37B46E5301C1}">
    <xltc:text>Estimated quarter: one-half of the FY less H1 reported period flow. FY less H1 is used only for additive flows; costs shown as deductions.</xltc:text>
  </xltc:threadedComment>
  <xltc:threadedComment ref="G41" dT="2026-09-14T16:33:13.88" personId="{E318F780-FD6E-4553-A307-152AE3F8479B}" id="{3CA6FF1D-79BA-4C37-B81C-1EC093A51C9A}">
    <xltc:text>Estimated quarter: one-half of the FY less H1 reported period flow. FY less H1 is used only for additive flows; costs shown as deductions.</xltc:text>
  </xltc:threadedComment>
  <xltc:threadedComment ref="H41" dT="2026-09-14T16:33:13.88" personId="{E318F780-FD6E-4553-A307-152AE3F8479B}" id="{2E65B9DA-BE0B-4F30-AD0A-2B51366AB4B3}">
    <xltc:text>Estimated quarter: one-half of the H1 reported period flow. FY less H1 is used only for additive flows; costs shown as deductions.</xltc:text>
  </xltc:threadedComment>
  <xltc:threadedComment ref="I41" dT="2026-09-14T16:33:13.88" personId="{E318F780-FD6E-4553-A307-152AE3F8479B}" id="{DC49D7BF-9595-45BB-B1F6-255825F2776A}">
    <xltc:text>Estimated quarter: one-half of the H1 reported period flow. FY less H1 is used only for additive flows; costs shown as deductions.</xltc:text>
  </xltc:threadedComment>
  <xltc:threadedComment ref="J41" dT="2026-09-14T16:33:13.88" personId="{E318F780-FD6E-4553-A307-152AE3F8479B}" id="{DA271FC7-6EE2-4FF7-84A0-699887C7F3BE}">
    <xltc:text>Estimated quarter: one-half of the FY less H1 reported period flow. FY less H1 is used only for additive flows; costs shown as deductions.</xltc:text>
  </xltc:threadedComment>
  <xltc:threadedComment ref="K41" dT="2026-09-14T16:33:13.88" personId="{E318F780-FD6E-4553-A307-152AE3F8479B}" id="{5BC24D08-D566-4AA8-980D-752A4B6A2AAA}">
    <xltc:text>Estimated quarter: one-half of the FY less H1 reported period flow. FY less H1 is used only for additive flows; costs shown as deductions.</xltc:text>
  </xltc:threadedComment>
  <xltc:threadedComment ref="L41" dT="2026-09-14T16:32:36.76" personId="{E318F780-FD6E-4553-A307-152AE3F8479B}" id="{807DA047-08C5-40B4-B2B9-63D65F45AA05}">
    <xltc:text>Estimated quarter: one-half of the H1 reported period flow. FY less H1 is used only for additive flows; costs shown as deductions.</xltc:text>
  </xltc:threadedComment>
  <xltc:threadedComment ref="M41" dT="2026-09-14T16:33:13.88" personId="{E318F780-FD6E-4553-A307-152AE3F8479B}" id="{5E484B58-9597-40C3-8178-BD1AFBFD0335}">
    <xltc:text>Estimated quarter: one-half of the H1 reported period flow. FY less H1 is used only for additive flows; costs shown as deductions.</xltc:text>
  </xltc:threadedComment>
  <xltc:threadedComment ref="N41" dT="2026-09-14T16:33:13.88" personId="{E318F780-FD6E-4553-A307-152AE3F8479B}" id="{78488241-8595-4161-B028-EDC9F6C680E1}">
    <xltc:text>Estimated quarter: one-half of the FY less H1 reported period flow. FY less H1 is used only for additive flows; costs shown as deductions.</xltc:text>
  </xltc:threadedComment>
  <xltc:threadedComment ref="O41" dT="2026-09-14T16:33:13.88" personId="{E318F780-FD6E-4553-A307-152AE3F8479B}" id="{72A4469B-7E36-4587-B4DC-95B447B30EA6}">
    <xltc:text>Estimated quarter: one-half of the FY less H1 reported period flow. FY less H1 is used only for additive flows; costs shown as deductions.</xltc:text>
  </xltc:threadedComment>
  <xltc:threadedComment ref="P41" dT="2026-09-14T16:33:13.88" personId="{E318F780-FD6E-4553-A307-152AE3F8479B}" id="{93E616F8-78C8-4A10-81DD-D7F24DDA5D3F}">
    <xltc:text>Estimated quarter: one-half of the H1 reported period flow. FY less H1 is used only for additive flows; costs shown as deductions.</xltc:text>
  </xltc:threadedComment>
  <xltc:threadedComment ref="Q41" dT="2026-09-14T16:33:13.88" personId="{E318F780-FD6E-4553-A307-152AE3F8479B}" id="{8CB863C3-FDD7-4F07-9C54-7AC28CC6720B}">
    <xltc:text>Estimated quarter: one-half of the H1 reported period flow. FY less H1 is used only for additive flows; costs shown as deductions.</xltc:text>
  </xltc:threadedComment>
  <xltc:threadedComment ref="D47" dT="2026-09-14T16:33:13.88" personId="{E318F780-FD6E-4553-A307-152AE3F8479B}" id="{5A03A68A-1A66-49B8-856E-D03CE858BC68}">
    <xltc:text>Estimated quarter: one-half of the H1 reported period flow. FY less H1 is used only for additive flows; costs shown as deductions.</xltc:text>
  </xltc:threadedComment>
  <xltc:threadedComment ref="E47" dT="2026-09-14T16:32:36.75" personId="{E318F780-FD6E-4553-A307-152AE3F8479B}" id="{E4F43060-4890-427D-B781-16719DE54AE8}">
    <xltc:text>Estimated quarter: one-half of the H1 reported period flow. FY less H1 is used only for additive flows; costs shown as deductions.</xltc:text>
  </xltc:threadedComment>
  <xltc:threadedComment ref="F47" dT="2026-09-14T16:33:13.88" personId="{E318F780-FD6E-4553-A307-152AE3F8479B}" id="{D62A10FD-618C-43D1-AF53-F367779CA08B}">
    <xltc:text>Estimated quarter: one-half of the FY less H1 reported period flow. FY less H1 is used only for additive flows; costs shown as deductions.</xltc:text>
  </xltc:threadedComment>
  <xltc:threadedComment ref="G47" dT="2026-09-14T16:33:13.88" personId="{E318F780-FD6E-4553-A307-152AE3F8479B}" id="{A1F5150F-48DB-4A2B-81B8-180B1CDC407A}">
    <xltc:text>Estimated quarter: one-half of the FY less H1 reported period flow. FY less H1 is used only for additive flows; costs shown as deductions.</xltc:text>
  </xltc:threadedComment>
  <xltc:threadedComment ref="H47" dT="2026-09-14T16:33:13.88" personId="{E318F780-FD6E-4553-A307-152AE3F8479B}" id="{029AE716-B296-436D-81FB-5DCE370A1393}">
    <xltc:text>Estimated quarter: one-half of the H1 reported period flow. FY less H1 is used only for additive flows; costs shown as deductions.</xltc:text>
  </xltc:threadedComment>
  <xltc:threadedComment ref="I47" dT="2026-09-14T16:33:13.88" personId="{E318F780-FD6E-4553-A307-152AE3F8479B}" id="{9BE2AE95-A067-4708-A409-98521F4D337F}">
    <xltc:text>Estimated quarter: one-half of the H1 reported period flow. FY less H1 is used only for additive flows; costs shown as deductions.</xltc:text>
  </xltc:threadedComment>
  <xltc:threadedComment ref="J47" dT="2026-09-14T16:33:13.88" personId="{E318F780-FD6E-4553-A307-152AE3F8479B}" id="{2AA3A845-A93D-4F8B-94A5-5477CD4973D1}">
    <xltc:text>Estimated quarter: one-half of the FY less H1 reported period flow. FY less H1 is used only for additive flows; costs shown as deductions.</xltc:text>
  </xltc:threadedComment>
  <xltc:threadedComment ref="K47" dT="2026-09-14T16:33:13.88" personId="{E318F780-FD6E-4553-A307-152AE3F8479B}" id="{3AA896BB-07A6-4150-B26F-0179ABA548F2}">
    <xltc:text>Estimated quarter: one-half of the FY less H1 reported period flow. FY less H1 is used only for additive flows; costs shown as deductions.</xltc:text>
  </xltc:threadedComment>
  <xltc:threadedComment ref="L47" dT="2026-09-14T16:32:36.76" personId="{E318F780-FD6E-4553-A307-152AE3F8479B}" id="{5D7BA8AB-9A0C-41B1-AABF-3637FE88C18E}">
    <xltc:text>Estimated quarter: one-half of the H1 reported period flow. FY less H1 is used only for additive flows; costs shown as deductions.</xltc:text>
  </xltc:threadedComment>
  <xltc:threadedComment ref="M47" dT="2026-09-14T16:33:13.88" personId="{E318F780-FD6E-4553-A307-152AE3F8479B}" id="{112E7F0D-F55B-474E-B9B0-587C565B6051}">
    <xltc:text>Estimated quarter: one-half of the H1 reported period flow. FY less H1 is used only for additive flows; costs shown as deductions.</xltc:text>
  </xltc:threadedComment>
  <xltc:threadedComment ref="N47" dT="2026-09-14T16:33:13.88" personId="{E318F780-FD6E-4553-A307-152AE3F8479B}" id="{3555CB75-9578-4800-899C-8A52732A9802}">
    <xltc:text>Estimated quarter: one-half of the FY less H1 reported period flow. FY less H1 is used only for additive flows; costs shown as deductions.</xltc:text>
  </xltc:threadedComment>
  <xltc:threadedComment ref="O47" dT="2026-09-14T16:33:13.88" personId="{E318F780-FD6E-4553-A307-152AE3F8479B}" id="{CE245484-AD31-4872-9871-0FA764816F44}">
    <xltc:text>Estimated quarter: one-half of the FY less H1 reported period flow. FY less H1 is used only for additive flows; costs shown as deductions.</xltc:text>
  </xltc:threadedComment>
  <xltc:threadedComment ref="P47" dT="2026-09-14T16:33:13.88" personId="{E318F780-FD6E-4553-A307-152AE3F8479B}" id="{3837451C-9A87-49DB-A884-4D28BD37513E}">
    <xltc:text>Estimated quarter: one-half of the H1 reported period flow. FY less H1 is used only for additive flows; costs shown as deductions.</xltc:text>
  </xltc:threadedComment>
  <xltc:threadedComment ref="Q47" dT="2026-09-14T16:33:13.88" personId="{E318F780-FD6E-4553-A307-152AE3F8479B}" id="{4432397F-914F-4065-8F02-30302910C068}">
    <xltc:text>Estimated quarter: one-half of the H1 reported period flow. FY less H1 is used only for additive flows; costs shown as deductions.</xltc:text>
  </xltc:threadedComment>
  <xltc:threadedComment ref="D48" dT="2026-09-14T16:33:13.88" personId="{E318F780-FD6E-4553-A307-152AE3F8479B}" id="{0A076546-AFD0-463A-80A3-0B41C13792DE}">
    <xltc:text>Estimated quarter: one-half of the H1 reported period flow. FY less H1 is used only for additive flows; costs shown as deductions.</xltc:text>
  </xltc:threadedComment>
  <xltc:threadedComment ref="E48" dT="2026-09-14T16:32:36.75" personId="{E318F780-FD6E-4553-A307-152AE3F8479B}" id="{014EF8F3-4198-4C8E-AC6D-0B88349A2D38}">
    <xltc:text>Estimated quarter: one-half of the H1 reported period flow. FY less H1 is used only for additive flows; costs shown as deductions.</xltc:text>
  </xltc:threadedComment>
  <xltc:threadedComment ref="F48" dT="2026-09-14T16:33:13.88" personId="{E318F780-FD6E-4553-A307-152AE3F8479B}" id="{731CAFF8-970F-4CD2-B8E9-1C6BDB9A3F82}">
    <xltc:text>Estimated quarter: one-half of the FY less H1 reported period flow. FY less H1 is used only for additive flows; costs shown as deductions.</xltc:text>
  </xltc:threadedComment>
  <xltc:threadedComment ref="G48" dT="2026-09-14T16:33:13.88" personId="{E318F780-FD6E-4553-A307-152AE3F8479B}" id="{924146ED-524B-4D8A-A9C5-06C8544F06DA}">
    <xltc:text>Estimated quarter: one-half of the FY less H1 reported period flow. FY less H1 is used only for additive flows; costs shown as deductions.</xltc:text>
  </xltc:threadedComment>
  <xltc:threadedComment ref="H48" dT="2026-09-14T16:33:13.88" personId="{E318F780-FD6E-4553-A307-152AE3F8479B}" id="{7BC92919-D730-49BE-83B0-36F4B0584123}">
    <xltc:text>Estimated quarter: one-half of the H1 reported period flow. FY less H1 is used only for additive flows; costs shown as deductions.</xltc:text>
  </xltc:threadedComment>
  <xltc:threadedComment ref="I48" dT="2026-09-14T16:33:13.88" personId="{E318F780-FD6E-4553-A307-152AE3F8479B}" id="{E9460093-E0E4-416B-925B-F7E7CCF75355}">
    <xltc:text>Estimated quarter: one-half of the H1 reported period flow. FY less H1 is used only for additive flows; costs shown as deductions.</xltc:text>
  </xltc:threadedComment>
  <xltc:threadedComment ref="J48" dT="2026-09-14T16:33:13.88" personId="{E318F780-FD6E-4553-A307-152AE3F8479B}" id="{66DA6B32-075E-46E5-BC11-EEC709448F8F}">
    <xltc:text>Estimated quarter: one-half of the FY less H1 reported period flow. FY less H1 is used only for additive flows; costs shown as deductions.</xltc:text>
  </xltc:threadedComment>
  <xltc:threadedComment ref="K48" dT="2026-09-14T16:33:13.88" personId="{E318F780-FD6E-4553-A307-152AE3F8479B}" id="{F884D813-77D6-437B-B77C-599E9FACC56A}">
    <xltc:text>Estimated quarter: one-half of the FY less H1 reported period flow. FY less H1 is used only for additive flows; costs shown as deductions.</xltc:text>
  </xltc:threadedComment>
  <xltc:threadedComment ref="L48" dT="2026-09-14T16:32:36.76" personId="{E318F780-FD6E-4553-A307-152AE3F8479B}" id="{5F3837CE-DE37-46A4-986B-87365491BA3F}">
    <xltc:text>Estimated quarter: one-half of the H1 reported period flow. FY less H1 is used only for additive flows; costs shown as deductions.</xltc:text>
  </xltc:threadedComment>
  <xltc:threadedComment ref="M48" dT="2026-09-14T16:33:13.88" personId="{E318F780-FD6E-4553-A307-152AE3F8479B}" id="{06FAFE1E-E641-4B60-8752-35AFB51C9833}">
    <xltc:text>Estimated quarter: one-half of the H1 reported period flow. FY less H1 is used only for additive flows; costs shown as deductions.</xltc:text>
  </xltc:threadedComment>
  <xltc:threadedComment ref="N48" dT="2026-09-14T16:33:13.88" personId="{E318F780-FD6E-4553-A307-152AE3F8479B}" id="{37CF17DE-86A2-43B3-A98C-00C62E5D097E}">
    <xltc:text>Estimated quarter: one-half of the FY less H1 reported period flow. FY less H1 is used only for additive flows; costs shown as deductions.</xltc:text>
  </xltc:threadedComment>
  <xltc:threadedComment ref="O48" dT="2026-09-14T16:33:13.88" personId="{E318F780-FD6E-4553-A307-152AE3F8479B}" id="{1213D623-7F55-4468-8A69-776B58398B31}">
    <xltc:text>Estimated quarter: one-half of the FY less H1 reported period flow. FY less H1 is used only for additive flows; costs shown as deductions.</xltc:text>
  </xltc:threadedComment>
  <xltc:threadedComment ref="P48" dT="2026-09-14T16:33:13.88" personId="{E318F780-FD6E-4553-A307-152AE3F8479B}" id="{6D15FD18-B863-459F-ABB4-784956A344E3}">
    <xltc:text>Estimated quarter: one-half of the H1 reported period flow. FY less H1 is used only for additive flows; costs shown as deductions.</xltc:text>
  </xltc:threadedComment>
  <xltc:threadedComment ref="Q48" dT="2026-09-14T16:33:13.88" personId="{E318F780-FD6E-4553-A307-152AE3F8479B}" id="{8B0315EB-E984-4BBB-8E7E-F28AB5A1EE50}">
    <xltc:text>Estimated quarter: one-half of the H1 reported period flow. FY less H1 is used only for additive flows; costs shown as deductions.</xltc:text>
  </xltc:threadedComment>
  <xltc:threadedComment ref="D49" dT="2026-09-14T16:33:13.88" personId="{E318F780-FD6E-4553-A307-152AE3F8479B}" id="{B6898A44-295B-40D5-A0B5-33EC0B4BD504}">
    <xltc:text>Estimated quarter: one-half of the H1 reported period flow. FY less H1 is used only for additive flows; costs shown as deductions.</xltc:text>
  </xltc:threadedComment>
  <xltc:threadedComment ref="E49" dT="2026-09-14T16:32:36.75" personId="{E318F780-FD6E-4553-A307-152AE3F8479B}" id="{03E695AA-0615-44C9-9CC8-4AA490F1F7D0}">
    <xltc:text>Estimated quarter: one-half of the H1 reported period flow. FY less H1 is used only for additive flows; costs shown as deductions.</xltc:text>
  </xltc:threadedComment>
  <xltc:threadedComment ref="F49" dT="2026-09-14T16:33:13.88" personId="{E318F780-FD6E-4553-A307-152AE3F8479B}" id="{5F773C1A-0A50-4D9F-A142-A5DCAA1F5EEB}">
    <xltc:text>Estimated quarter: one-half of the FY less H1 reported period flow. FY less H1 is used only for additive flows; costs shown as deductions.</xltc:text>
  </xltc:threadedComment>
  <xltc:threadedComment ref="G49" dT="2026-09-14T16:33:13.88" personId="{E318F780-FD6E-4553-A307-152AE3F8479B}" id="{8BA39D09-9E93-4CFB-8EB7-A676CB208FAC}">
    <xltc:text>Estimated quarter: one-half of the FY less H1 reported period flow. FY less H1 is used only for additive flows; costs shown as deductions.</xltc:text>
  </xltc:threadedComment>
  <xltc:threadedComment ref="H49" dT="2026-09-14T16:33:13.88" personId="{E318F780-FD6E-4553-A307-152AE3F8479B}" id="{3C4F5E00-058C-4558-8950-EEE8976338C8}">
    <xltc:text>Estimated quarter: one-half of the H1 reported period flow. FY less H1 is used only for additive flows; costs shown as deductions.</xltc:text>
  </xltc:threadedComment>
  <xltc:threadedComment ref="I49" dT="2026-09-14T16:33:13.88" personId="{E318F780-FD6E-4553-A307-152AE3F8479B}" id="{1C44ED5C-6560-4070-A1B5-26BE391C57FE}">
    <xltc:text>Estimated quarter: one-half of the H1 reported period flow. FY less H1 is used only for additive flows; costs shown as deductions.</xltc:text>
  </xltc:threadedComment>
  <xltc:threadedComment ref="J49" dT="2026-09-14T16:33:13.88" personId="{E318F780-FD6E-4553-A307-152AE3F8479B}" id="{53AD38D2-A43A-4E1B-9556-D9E4A3D37FF7}">
    <xltc:text>Estimated quarter: one-half of the FY less H1 reported period flow. FY less H1 is used only for additive flows; costs shown as deductions.</xltc:text>
  </xltc:threadedComment>
  <xltc:threadedComment ref="K49" dT="2026-09-14T16:33:13.88" personId="{E318F780-FD6E-4553-A307-152AE3F8479B}" id="{66537D2E-22B7-412A-A1D6-DF21A913F5F0}">
    <xltc:text>Estimated quarter: one-half of the FY less H1 reported period flow. FY less H1 is used only for additive flows; costs shown as deductions.</xltc:text>
  </xltc:threadedComment>
  <xltc:threadedComment ref="L49" dT="2026-09-14T16:32:36.76" personId="{E318F780-FD6E-4553-A307-152AE3F8479B}" id="{BE2CA243-998A-4FBD-9704-EC8EF30A5B11}">
    <xltc:text>Estimated quarter: one-half of the H1 reported period flow. FY less H1 is used only for additive flows; costs shown as deductions.</xltc:text>
  </xltc:threadedComment>
  <xltc:threadedComment ref="M49" dT="2026-09-14T16:33:13.88" personId="{E318F780-FD6E-4553-A307-152AE3F8479B}" id="{A8E62CB2-5401-4628-B9DC-E45E245794A5}">
    <xltc:text>Estimated quarter: one-half of the H1 reported period flow. FY less H1 is used only for additive flows; costs shown as deductions.</xltc:text>
  </xltc:threadedComment>
  <xltc:threadedComment ref="N49" dT="2026-09-14T16:33:13.88" personId="{E318F780-FD6E-4553-A307-152AE3F8479B}" id="{D4A66783-BDCA-4E52-8076-64BE2A887D01}">
    <xltc:text>Estimated quarter: one-half of the FY less H1 reported period flow. FY less H1 is used only for additive flows; costs shown as deductions.</xltc:text>
  </xltc:threadedComment>
  <xltc:threadedComment ref="O49" dT="2026-09-14T16:33:13.88" personId="{E318F780-FD6E-4553-A307-152AE3F8479B}" id="{E10AEF70-B57C-45F0-A153-7BEE69F073C4}">
    <xltc:text>Estimated quarter: one-half of the FY less H1 reported period flow. FY less H1 is used only for additive flows; costs shown as deductions.</xltc:text>
  </xltc:threadedComment>
  <xltc:threadedComment ref="P49" dT="2026-09-14T16:33:13.88" personId="{E318F780-FD6E-4553-A307-152AE3F8479B}" id="{B2E00C37-DC23-4E9D-A8E0-DE330E933FE1}">
    <xltc:text>Estimated quarter: one-half of the H1 reported period flow. FY less H1 is used only for additive flows; costs shown as deductions.</xltc:text>
  </xltc:threadedComment>
  <xltc:threadedComment ref="Q49" dT="2026-09-14T16:33:13.88" personId="{E318F780-FD6E-4553-A307-152AE3F8479B}" id="{AE54757D-6564-4902-B6CC-95628505924F}">
    <xltc:text>Estimated quarter: one-half of the H1 reported period flow. FY less H1 is used only for additive flows; costs shown as deductions.</xltc:text>
  </xltc:threadedComment>
  <xltc:threadedComment ref="D54" dT="2026-09-14T16:33:13.88" personId="{E318F780-FD6E-4553-A307-152AE3F8479B}" id="{B78C9333-008F-41F2-A88E-3367654748F4}">
    <xltc:text>Estimated quarterly tax at the reported half-year core tax / PBT ratio. Quarter taxes sum to the reported half-year tax; a loss quarter receives a tax benefit at this rate.</xltc:text>
  </xltc:threadedComment>
  <xltc:threadedComment ref="E54" dT="2026-09-14T16:32:36.75" personId="{E318F780-FD6E-4553-A307-152AE3F8479B}" id="{152DFBC7-F7D1-4EF7-923E-5DF47FAA91DF}">
    <xltc:text>Estimated quarterly tax at the reported half-year core tax / PBT ratio. Quarter taxes sum to the reported half-year tax; a loss quarter receives a tax benefit at this rate.</xltc:text>
  </xltc:threadedComment>
  <xltc:threadedComment ref="F54" dT="2026-09-14T16:33:13.88" personId="{E318F780-FD6E-4553-A307-152AE3F8479B}" id="{E625DB85-58A5-4868-857A-E97001D4A710}">
    <xltc:text>Estimated quarterly tax at the reported half-year core tax / PBT ratio. Quarter taxes sum to the reported half-year tax; a loss quarter receives a tax benefit at this rate.</xltc:text>
  </xltc:threadedComment>
  <xltc:threadedComment ref="G54" dT="2026-09-14T16:33:13.88" personId="{E318F780-FD6E-4553-A307-152AE3F8479B}" id="{413DA3AA-FC10-4F1E-BDDC-C15FE91C820D}">
    <xltc:text>Estimated quarterly tax at the reported half-year core tax / PBT ratio. Quarter taxes sum to the reported half-year tax; a loss quarter receives a tax benefit at this rate.</xltc:text>
  </xltc:threadedComment>
  <xltc:threadedComment ref="H54" dT="2026-09-14T16:33:13.88" personId="{E318F780-FD6E-4553-A307-152AE3F8479B}" id="{F16DC8F0-E6CD-4C13-B292-F6843B6DCB83}">
    <xltc:text>Estimated quarterly tax at the reported half-year core tax / PBT ratio. Quarter taxes sum to the reported half-year tax; a loss quarter receives a tax benefit at this rate.</xltc:text>
  </xltc:threadedComment>
  <xltc:threadedComment ref="I54" dT="2026-09-14T16:33:13.88" personId="{E318F780-FD6E-4553-A307-152AE3F8479B}" id="{B5DC30D1-A13D-4E29-96F6-00B82A2919D4}">
    <xltc:text>Estimated quarterly tax at the reported half-year core tax / PBT ratio. Quarter taxes sum to the reported half-year tax; a loss quarter receives a tax benefit at this rate.</xltc:text>
  </xltc:threadedComment>
  <xltc:threadedComment ref="J54" dT="2026-09-14T16:33:13.88" personId="{E318F780-FD6E-4553-A307-152AE3F8479B}" id="{F61B8255-FF08-472E-92C9-1F030351337D}">
    <xltc:text>Estimated quarterly tax at the reported half-year core tax / PBT ratio. Quarter taxes sum to the reported half-year tax; a loss quarter receives a tax benefit at this rate.</xltc:text>
  </xltc:threadedComment>
  <xltc:threadedComment ref="K54" dT="2026-09-14T16:33:13.88" personId="{E318F780-FD6E-4553-A307-152AE3F8479B}" id="{7FF679BB-0C23-4A38-A425-BE909870ED73}">
    <xltc:text>Estimated quarterly tax at the reported half-year core tax / PBT ratio. Quarter taxes sum to the reported half-year tax; a loss quarter receives a tax benefit at this rate.</xltc:text>
  </xltc:threadedComment>
  <xltc:threadedComment ref="L54" dT="2026-09-14T16:32:36.76" personId="{E318F780-FD6E-4553-A307-152AE3F8479B}" id="{57873556-87E6-4FBF-88A7-F9A7EF5BB2C9}">
    <xltc:text>Estimated quarterly tax at the reported half-year core tax / PBT ratio. Quarter taxes sum to the reported half-year tax; a loss quarter receives a tax benefit at this rate.</xltc:text>
  </xltc:threadedComment>
  <xltc:threadedComment ref="M54" dT="2026-09-14T16:33:13.88" personId="{E318F780-FD6E-4553-A307-152AE3F8479B}" id="{A88C84E0-2145-45AE-88D7-457FE0E36D32}">
    <xltc:text>Estimated quarterly tax at the reported half-year core tax / PBT ratio. Quarter taxes sum to the reported half-year tax; a loss quarter receives a tax benefit at this rate.</xltc:text>
  </xltc:threadedComment>
  <xltc:threadedComment ref="N54" dT="2026-09-14T16:33:13.88" personId="{E318F780-FD6E-4553-A307-152AE3F8479B}" id="{EE3FEDA5-899F-420D-9210-E533A1EF25CF}">
    <xltc:text>Estimated quarterly tax at the reported half-year core tax / PBT ratio. Quarter taxes sum to the reported half-year tax; a loss quarter receives a tax benefit at this rate.</xltc:text>
  </xltc:threadedComment>
  <xltc:threadedComment ref="O54" dT="2026-09-14T16:33:13.88" personId="{E318F780-FD6E-4553-A307-152AE3F8479B}" id="{A186E7C5-FD90-4D22-98A0-7B5E93B34857}">
    <xltc:text>Estimated quarterly tax at the reported half-year core tax / PBT ratio. Quarter taxes sum to the reported half-year tax; a loss quarter receives a tax benefit at this rate.</xltc:text>
  </xltc:threadedComment>
  <xltc:threadedComment ref="P54" dT="2026-09-14T16:33:13.88" personId="{E318F780-FD6E-4553-A307-152AE3F8479B}" id="{6033BB9B-B540-44EF-A39D-9594D284CCCA}">
    <xltc:text>Estimated quarterly tax at the reported half-year core tax / PBT ratio. Quarter taxes sum to the reported half-year tax; a loss quarter receives a tax benefit at this rate.</xltc:text>
  </xltc:threadedComment>
  <xltc:threadedComment ref="Q54" dT="2026-09-14T16:33:13.88" personId="{E318F780-FD6E-4553-A307-152AE3F8479B}" id="{FC87AC73-D92B-4273-9F35-3930BE914532}">
    <xltc:text>Estimated quarterly tax at the reported half-year core tax / PBT ratio. Quarter taxes sum to the reported half-year tax; a loss quarter receives a tax benefit at this rate.</xltc:text>
  </xltc:threadedComment>
  <xltc:threadedComment ref="D56" dT="2026-09-14T16:33:13.88" personId="{E318F780-FD6E-4553-A307-152AE3F8479B}" id="{156E0F3F-E4A2-4265-8D53-54647D535365}">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E56" dT="2026-09-14T16:32:36.75" personId="{E318F780-FD6E-4553-A307-152AE3F8479B}" id="{F973729E-AF08-4502-8670-9CEB98BF1559}">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F56" dT="2026-09-14T16:33:13.88" personId="{E318F780-FD6E-4553-A307-152AE3F8479B}" id="{A4B3A89C-41BB-4C7C-BD33-8D91459C2877}">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G56" dT="2026-09-14T16:33:13.88" personId="{E318F780-FD6E-4553-A307-152AE3F8479B}" id="{E04BDA13-A609-4891-BC3F-A04D362698A9}">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H56" dT="2026-09-14T16:33:13.88" personId="{E318F780-FD6E-4553-A307-152AE3F8479B}" id="{FEA675C8-FEBC-4F81-8647-D11B5F41B247}">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I56" dT="2026-09-14T16:33:13.88" personId="{E318F780-FD6E-4553-A307-152AE3F8479B}" id="{C55823B2-8A01-46D4-9F45-F86E1327DA3C}">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J56" dT="2026-09-14T16:33:13.88" personId="{E318F780-FD6E-4553-A307-152AE3F8479B}" id="{5E459B48-EB88-4D7B-8014-FC171CD2C629}">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K56" dT="2026-09-14T16:33:13.88" personId="{E318F780-FD6E-4553-A307-152AE3F8479B}" id="{FE4780C8-0FA3-4E65-B512-A63E428E653B}">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L56" dT="2026-09-14T16:32:36.76" personId="{E318F780-FD6E-4553-A307-152AE3F8479B}" id="{8DBC353D-1472-4F27-9FF7-BA591C9F7CF3}">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M56" dT="2026-09-14T16:33:13.88" personId="{E318F780-FD6E-4553-A307-152AE3F8479B}" id="{C402A3AF-D222-412C-9165-1A7E52EE084B}">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N56" dT="2026-09-14T16:33:13.88" personId="{E318F780-FD6E-4553-A307-152AE3F8479B}" id="{60CADF10-C8AF-4720-A9B1-B4B7BDB554AB}">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O56" dT="2026-09-14T16:33:13.88" personId="{E318F780-FD6E-4553-A307-152AE3F8479B}" id="{38573C07-5392-4907-AB3E-AA3EAD840652}">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P56" dT="2026-09-14T16:33:13.88" personId="{E318F780-FD6E-4553-A307-152AE3F8479B}" id="{5FC212DD-37E3-416E-AF65-43D24F3CC390}">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Q56" dT="2026-09-14T16:33:13.88" personId="{E318F780-FD6E-4553-A307-152AE3F8479B}" id="{6681CE9D-31CB-4C96-B8B5-C257B81121FF}">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s>
</file>

<file path=xl/threadedcomments/threadedcomment3.xml><?xml version="1.0" encoding="utf-8"?>
<xltc:ThreadedComments xmlns:xltc="http://schemas.microsoft.com/office/spreadsheetml/2018/threadedcomments">
  <xltc:threadedComment ref="F14" dT="2026-09-14T16:33:13.88" personId="{E318F780-FD6E-4553-A307-152AE3F8479B}" id="{5B28245C-6916-43F8-9366-B300F28ECD63}">
    <xltc:text>Varagon added $10.8bn fee-paying AUM in Q3 2023. Asteria was also acquired in 2023, but no separate material AUM amount is used. Source: FY2023 financial review and Q3 AUM bridge.</xltc:text>
  </xltc:threadedComment>
  <xltc:threadedComment ref="O14" dT="2026-09-14T16:33:13.88" personId="{E318F780-FD6E-4553-A307-152AE3F8479B}" id="{59997010-A740-460A-A09C-FB9740706C2C}">
    <xltc:text>Bardin Hill completed 1 October 2025 and added $2.7bn. Remove this from the disclosed combined other bucket to avoid double counting. Source: FY2025 financial review.</xltc:text>
  </xltc:threadedComment>
  <xltc:threadedComment ref="J23" dT="2026-09-14T16:33:13.88" personId="{E318F780-FD6E-4553-A307-152AE3F8479B}" id="{83E9B1B0-D07B-430E-B6A5-5B11FA51F851}">
    <xltc:text>Core performance fees exclude $19m of pass-through gross-up in H1 2026. Related compensation of $18m is also removed from core costs. The $1m net reclassification is excluded consistently with company core PBT. Carried interest is included in performance fees where earned; no separately disclosed earned carried-interest series is available.</xltc:text>
  </xltc:threadedComment>
  <xltc:threadedComment ref="I27" dT="2026-09-14T16:33:13.88" personId="{E318F780-FD6E-4553-A307-152AE3F8479B}" id="{4D73E011-4F2F-4537-86C5-9F9A5E128611}">
    <xltc:text>FY2025 fixed compensation $274m is disclosed in note 6.1. Statutory variable compensation $433m includes $32m of non-core charges; core total compensation is $675m, so core variable compensation is $401m. The model separately uses the disclosed management/performance split of $481m/$194m.</xltc:text>
  </xltc:threadedComment>
  <xltc:threadedComment ref="D45" dT="2026-09-14T16:33:13.88" personId="{E318F780-FD6E-4553-A307-152AE3F8479B}" id="{3221CA3B-36E4-48E7-87C2-057DABF5CFA5}">
    <xltc:text>n/d means no aggregate realised average fee margin was located in the H1 release. Run-rate margins are different metrics and are not substituted.</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9ba05f282620483e" /></Relationships>
</file>

<file path=xl/worksheets/_rels/sheet2.xml.rels>&#65279;<?xml version="1.0" encoding="utf-8"?><Relationships xmlns="http://schemas.openxmlformats.org/package/2006/relationships"><Relationship Type="http://schemas.openxmlformats.org/officeDocument/2006/relationships/comments" Target="/xl/comments1.xml" Id="Rbc7659b203a24394" /><Relationship Type="http://schemas.openxmlformats.org/officeDocument/2006/relationships/vmlDrawing" Target="/xl/drawings/vmldrawing.vml" Id="Rcb74876a51084898" /><Relationship Type="http://schemas.microsoft.com/office/2017/10/relationships/threadedComment" Target="/xl/threadedcomments/threadedcomment.xml" Id="R6a46063134eb471a" /><Relationship Type="http://schemas.openxmlformats.org/officeDocument/2006/relationships/drawing" Target="/xl/drawings/drawing2.xml" Id="Rb112360860784f07" /></Relationships>
</file>

<file path=xl/worksheets/_rels/sheet3.xml.rels>&#65279;<?xml version="1.0" encoding="utf-8"?><Relationships xmlns="http://schemas.openxmlformats.org/package/2006/relationships"><Relationship Type="http://schemas.openxmlformats.org/officeDocument/2006/relationships/comments" Target="/xl/comments2.xml" Id="Rd27b5289a4fe4951" /><Relationship Type="http://schemas.openxmlformats.org/officeDocument/2006/relationships/vmlDrawing" Target="/xl/drawings/vmldrawing2.vml" Id="Re7ad9c74206b4101" /><Relationship Type="http://schemas.microsoft.com/office/2017/10/relationships/threadedComment" Target="/xl/threadedcomments/threadedcomment2.xml" Id="R92131ae9542549c6" /><Relationship Type="http://schemas.openxmlformats.org/officeDocument/2006/relationships/drawing" Target="/xl/drawings/drawing3.xml" Id="R90a8288bbed94d3c" /></Relationships>
</file>

<file path=xl/worksheets/_rels/sheet4.xml.rels>&#65279;<?xml version="1.0" encoding="utf-8"?><Relationships xmlns="http://schemas.openxmlformats.org/package/2006/relationships"><Relationship Type="http://schemas.openxmlformats.org/officeDocument/2006/relationships/comments" Target="/xl/comments3.xml" Id="Ra6bd63d36600444d" /><Relationship Type="http://schemas.openxmlformats.org/officeDocument/2006/relationships/vmlDrawing" Target="/xl/drawings/vmldrawing3.vml" Id="Rfaeb07bd92904ae3" /><Relationship Type="http://schemas.microsoft.com/office/2017/10/relationships/threadedComment" Target="/xl/threadedcomments/threadedcomment3.xml" Id="Rc1b54d4af7764af7" /><Relationship Type="http://schemas.openxmlformats.org/officeDocument/2006/relationships/drawing" Target="/xl/drawings/drawing4.xml" Id="R9344a59af4f349a3" /></Relationships>
</file>

<file path=xl/worksheets/sheet1.xml><?xml version="1.0" encoding="utf-8"?>
<x:worksheet xmlns:x="http://schemas.openxmlformats.org/spreadsheetml/2006/main">
  <x:sheetPr>
    <x:tabColor rgb="FF18344B"/>
  </x:sheetPr>
  <x:sheetViews>
    <x:sheetView showGridLines="0" workbookViewId="0"/>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0</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t="s">
        <x:v>2</x:v>
      </x:c>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19" customHeight="1">
      <x:c r="A7" s="2"/>
      <x:c r="B7" s="2"/>
      <x:c r="C7" s="2"/>
      <x:c r="D7" s="58" t="s">
        <x:v>3</x:v>
      </x:c>
      <x:c r="E7" s="58" t="s">
        <x:v>4</x:v>
      </x:c>
      <x:c r="F7" s="58" t="s">
        <x:v>5</x:v>
      </x:c>
      <x:c r="G7" s="58" t="s">
        <x:v>6</x:v>
      </x:c>
      <x:c r="H7" s="58" t="s">
        <x:v>7</x:v>
      </x:c>
      <x:c r="I7" s="58" t="s">
        <x:v>8</x:v>
      </x:c>
      <x:c r="J7" s="58" t="s">
        <x:v>9</x:v>
      </x:c>
      <x:c r="K7" s="58" t="s">
        <x:v>10</x:v>
      </x:c>
      <x:c r="L7" s="58" t="s">
        <x:v>11</x:v>
      </x:c>
      <x:c r="M7" s="58" t="s">
        <x:v>12</x:v>
      </x:c>
      <x:c r="N7" s="59"/>
      <x:c r="O7" s="59"/>
      <x:c r="P7" s="59"/>
      <x:c r="Q7" s="59"/>
      <x:c r="R7" s="59"/>
      <x:c r="S7" s="59"/>
      <x:c r="T7" s="59"/>
      <x:c r="U7" s="59"/>
      <x:c r="V7" s="59"/>
      <x:c r="W7" s="59"/>
    </x:row>
    <x:row r="8" ht="19" customHeight="1">
      <x:c r="A8" s="2"/>
      <x:c r="B8" s="2"/>
      <x:c r="C8" s="2"/>
      <x:c r="D8" s="3" t="s">
        <x:v>13</x:v>
      </x:c>
      <x:c r="E8" s="3" t="s">
        <x:v>13</x:v>
      </x:c>
      <x:c r="F8" s="3" t="s">
        <x:v>13</x:v>
      </x:c>
      <x:c r="G8" s="3" t="s">
        <x:v>13</x:v>
      </x:c>
      <x:c r="H8" s="3" t="s">
        <x:v>13</x:v>
      </x:c>
      <x:c r="I8" s="3" t="s">
        <x:v>13</x:v>
      </x:c>
      <x:c r="J8" s="3" t="s">
        <x:v>13</x:v>
      </x:c>
      <x:c r="K8" s="3" t="s">
        <x:v>14</x:v>
      </x:c>
      <x:c r="L8" s="3" t="s">
        <x:v>15</x:v>
      </x:c>
      <x:c r="M8" s="3" t="s">
        <x:v>15</x:v>
      </x:c>
      <x:c r="N8" s="3"/>
      <x:c r="O8" s="3"/>
      <x:c r="P8" s="3"/>
      <x:c r="Q8" s="3"/>
      <x:c r="R8" s="3"/>
      <x:c r="S8" s="3"/>
      <x:c r="T8" s="3"/>
      <x:c r="U8" s="3"/>
      <x:c r="V8" s="3"/>
      <x:c r="W8" s="3"/>
    </x:row>
    <x:row r="9" ht="19" customHeight="1">
      <x:c r="A9" s="2"/>
      <x:c r="B9" s="2"/>
      <x:c r="C9" s="41" t="s">
        <x:v>16</x:v>
      </x:c>
      <x:c r="D9" s="42" t="n">
        <x:f>'Fee engine'!D87</x:f>
        <x:v>151.7</x:v>
      </x:c>
      <x:c r="E9" s="42" t="n">
        <x:f>'Fee engine'!E87</x:f>
        <x:v>167.49999999999997</x:v>
      </x:c>
      <x:c r="F9" s="42" t="n">
        <x:f>'Fee engine'!F87</x:f>
        <x:v>178.20000000000002</x:v>
      </x:c>
      <x:c r="G9" s="42" t="n">
        <x:f>'Fee engine'!G87</x:f>
        <x:v>168.60000000000002</x:v>
      </x:c>
      <x:c r="H9" s="42" t="n">
        <x:f>'Fee engine'!H87</x:f>
        <x:v>193.3</x:v>
      </x:c>
      <x:c r="I9" s="42" t="n">
        <x:f>'Fee engine'!I87</x:f>
        <x:v>227.6</x:v>
      </x:c>
      <x:c r="J9" s="42" t="n">
        <x:f>'Fee engine'!J87</x:f>
        <x:v>253.59999999999997</x:v>
      </x:c>
      <x:c r="K9" s="42" t="n">
        <x:f>'Fee engine'!K87</x:f>
        <x:v>266.4384999999999</x:v>
      </x:c>
      <x:c r="L9" s="42" t="n">
        <x:f>'Fee engine'!L87</x:f>
        <x:v>279.9269490624999</x:v>
      </x:c>
      <x:c r="M9" s="42" t="n">
        <x:f>'Fee engine'!M87</x:f>
        <x:v>294.09825085878896</x:v>
      </x:c>
      <x:c r="N9" s="3"/>
      <x:c r="O9" s="3"/>
      <x:c r="P9" s="3"/>
      <x:c r="Q9" s="3"/>
      <x:c r="R9" s="3"/>
      <x:c r="S9" s="3"/>
      <x:c r="T9" s="3"/>
      <x:c r="U9" s="3"/>
      <x:c r="V9" s="3"/>
      <x:c r="W9" s="3"/>
    </x:row>
    <x:row r="10" ht="19" customHeight="1">
      <x:c r="A10" s="2"/>
      <x:c r="B10" s="2"/>
      <x:c r="C10" s="2" t="s">
        <x:v>17</x:v>
      </x:c>
      <x:c r="D10" s="3" t="n">
        <x:f>'Fee engine'!D89</x:f>
        <x:v>2.6</x:v>
      </x:c>
      <x:c r="E10" s="3" t="n">
        <x:f>'Fee engine'!E89</x:f>
        <x:v>3</x:v>
      </x:c>
      <x:c r="F10" s="3" t="n">
        <x:f>'Fee engine'!F89</x:f>
        <x:v>0.8999999999999999</x:v>
      </x:c>
      <x:c r="G10" s="3" t="n">
        <x:f>'Fee engine'!G89</x:f>
        <x:v>-3.3</x:v>
      </x:c>
      <x:c r="H10" s="3" t="n">
        <x:f>'Fee engine'!H89</x:f>
        <x:v>17.6</x:v>
      </x:c>
      <x:c r="I10" s="3" t="n">
        <x:f>'Fee engine'!I89</x:f>
        <x:v>28.7</x:v>
      </x:c>
      <x:c r="J10" s="3" t="n">
        <x:f>'Fee engine'!J89</x:f>
        <x:v>7.1</x:v>
      </x:c>
      <x:c r="K10" s="3" t="n">
        <x:f>'Fee engine'!K89</x:f>
        <x:v>12.235399999999998</x:v>
      </x:c>
      <x:c r="L10" s="3" t="n">
        <x:f>'Fee engine'!L89</x:f>
        <x:v>5.395379624999999</x:v>
      </x:c>
      <x:c r="M10" s="3" t="n">
        <x:f>'Fee engine'!M89</x:f>
        <x:v>11.063900343515622</x:v>
      </x:c>
      <x:c r="N10" s="3"/>
      <x:c r="O10" s="3"/>
      <x:c r="P10" s="3"/>
      <x:c r="Q10" s="3"/>
      <x:c r="R10" s="3"/>
      <x:c r="S10" s="3"/>
      <x:c r="T10" s="3"/>
      <x:c r="U10" s="3"/>
      <x:c r="V10" s="3"/>
      <x:c r="W10" s="3"/>
    </x:row>
    <x:row r="11" ht="19" customHeight="1">
      <x:c r="A11" s="2"/>
      <x:c r="B11" s="2"/>
      <x:c r="C11" s="2" t="s">
        <x:v>18</x:v>
      </x:c>
      <x:c r="D11" s="25" t="n">
        <x:f>'Fee engine'!D109</x:f>
        <x:v>62.97056810403833</x:v>
      </x:c>
      <x:c r="E11" s="25" t="n">
        <x:f>'Fee engine'!E109</x:f>
        <x:v>62.83849918433931</x:v>
      </x:c>
      <x:c r="F11" s="25" t="n">
        <x:f>'Fee engine'!F109</x:f>
        <x:v>63.233395495624734</x:v>
      </x:c>
      <x:c r="G11" s="25" t="n">
        <x:f>'Fee engine'!G109</x:f>
        <x:v>62.96907512377127</x:v>
      </x:c>
      <x:c r="H11" s="25" t="n">
        <x:f>'Fee engine'!H109</x:f>
        <x:v>58.49243388488188</x:v>
      </x:c>
      <x:c r="I11" s="25" t="n">
        <x:f>'Fee engine'!I109</x:f>
        <x:v>55.37986887774776</x:v>
      </x:c>
      <x:c r="J11" s="25" t="n">
        <x:f>'Fee engine'!J109</x:f>
        <x:v>53.44129554655871</x:v>
      </x:c>
      <x:c r="K11" s="25" t="n">
        <x:f>'Fee engine'!K109</x:f>
        <x:v>54.786162474599045</x:v>
      </x:c>
      <x:c r="L11" s="25" t="n">
        <x:f>'Fee engine'!L109</x:f>
        <x:v>56</x:v>
      </x:c>
      <x:c r="M11" s="25" t="n">
        <x:f>'Fee engine'!M109</x:f>
        <x:v>56</x:v>
      </x:c>
      <x:c r="N11" s="3"/>
      <x:c r="O11" s="3"/>
      <x:c r="P11" s="3"/>
      <x:c r="Q11" s="3"/>
      <x:c r="R11" s="3"/>
      <x:c r="S11" s="3"/>
      <x:c r="T11" s="3"/>
      <x:c r="U11" s="3"/>
      <x:c r="V11" s="3"/>
      <x:c r="W11" s="3"/>
    </x:row>
    <x:row r="12" ht="19" customHeight="1">
      <x:c r="A12" s="2"/>
      <x:c r="B12" s="2"/>
      <x:c r="C12" s="2"/>
      <x:c r="D12" s="3"/>
      <x:c r="E12" s="3"/>
      <x:c r="F12" s="3"/>
      <x:c r="G12" s="3"/>
      <x:c r="H12" s="3"/>
      <x:c r="I12" s="3"/>
      <x:c r="J12" s="3"/>
      <x:c r="K12" s="3"/>
      <x:c r="L12" s="3"/>
      <x:c r="M12" s="3"/>
      <x:c r="N12" s="3"/>
      <x:c r="O12" s="3"/>
      <x:c r="P12" s="3"/>
      <x:c r="Q12" s="3"/>
      <x:c r="R12" s="3"/>
      <x:c r="S12" s="3"/>
      <x:c r="T12" s="3"/>
      <x:c r="U12" s="3"/>
      <x:c r="V12" s="3"/>
      <x:c r="W12" s="3"/>
    </x:row>
    <x:row r="13" ht="19" customHeight="1">
      <x:c r="A13" s="2"/>
      <x:c r="B13" s="2"/>
      <x:c r="C13" s="2" t="s">
        <x:v>19</x:v>
      </x:c>
      <x:c r="D13" s="3" t="n">
        <x:f>'Fee engine'!D95</x:f>
        <x:v>460</x:v>
      </x:c>
      <x:c r="E13" s="3" t="n">
        <x:f>'Fee engine'!E95</x:f>
        <x:v>963</x:v>
      </x:c>
      <x:c r="F13" s="3" t="n">
        <x:f>'Fee engine'!F95</x:f>
        <x:v>551</x:v>
      </x:c>
      <x:c r="G13" s="3" t="n">
        <x:f>'Fee engine'!G95</x:f>
        <x:v>1097</x:v>
      </x:c>
      <x:c r="H13" s="3" t="n">
        <x:f>'Fee engine'!H95</x:f>
        <x:v>516.9999999999999</x:v>
      </x:c>
      <x:c r="I13" s="3" t="n">
        <x:f>'Fee engine'!I95</x:f>
        <x:v>1076.9999999999998</x:v>
      </x:c>
      <x:c r="J13" s="3" t="n">
        <x:f>'Fee engine'!J95</x:f>
        <x:v>627</x:v>
      </x:c>
      <x:c r="K13" s="3" t="n">
        <x:f>'Fee engine'!K95</x:f>
        <x:v>1354.9429499999997</x:v>
      </x:c>
      <x:c r="L13" s="3" t="n">
        <x:f>'Fee engine'!L95</x:f>
        <x:v>764.7950618437496</x:v>
      </x:c>
      <x:c r="M13" s="3" t="n">
        <x:f>'Fee engine'!M95</x:f>
        <x:v>1568.3078736933392</x:v>
      </x:c>
      <x:c r="N13" s="3"/>
      <x:c r="O13" s="3"/>
      <x:c r="P13" s="3"/>
      <x:c r="Q13" s="3"/>
      <x:c r="R13" s="3"/>
      <x:c r="S13" s="3"/>
      <x:c r="T13" s="3"/>
      <x:c r="U13" s="3"/>
      <x:c r="V13" s="3"/>
      <x:c r="W13" s="3"/>
    </x:row>
    <x:row r="14" ht="19" customHeight="1">
      <x:c r="A14" s="2"/>
      <x:c r="B14" s="2"/>
      <x:c r="C14" s="2" t="s">
        <x:v>20</x:v>
      </x:c>
      <x:c r="D14" s="3" t="n">
        <x:f>'Fee engine'!D96</x:f>
        <x:v>32</x:v>
      </x:c>
      <x:c r="E14" s="3" t="n">
        <x:f>'Fee engine'!E96</x:f>
        <x:v>180</x:v>
      </x:c>
      <x:c r="F14" s="3" t="n">
        <x:f>'Fee engine'!F96</x:f>
        <x:v>170</x:v>
      </x:c>
      <x:c r="G14" s="3" t="n">
        <x:f>'Fee engine'!G96</x:f>
        <x:v>310</x:v>
      </x:c>
      <x:c r="H14" s="3" t="n">
        <x:f>'Fee engine'!H96</x:f>
        <x:v>67</x:v>
      </x:c>
      <x:c r="I14" s="3" t="n">
        <x:f>'Fee engine'!I96</x:f>
        <x:v>281</x:v>
      </x:c>
      <x:c r="J14" s="3" t="n">
        <x:f>'Fee engine'!J96</x:f>
        <x:v>207</x:v>
      </x:c>
      <x:c r="K14" s="3" t="n">
        <x:f>'Fee engine'!K96</x:f>
        <x:v>421</x:v>
      </x:c>
      <x:c r="L14" s="3" t="n">
        <x:f>'Fee engine'!L96</x:f>
        <x:v>67</x:v>
      </x:c>
      <x:c r="M14" s="3" t="n">
        <x:f>'Fee engine'!M96</x:f>
        <x:v>281</x:v>
      </x:c>
      <x:c r="N14" s="3"/>
      <x:c r="O14" s="3"/>
      <x:c r="P14" s="3"/>
      <x:c r="Q14" s="3"/>
      <x:c r="R14" s="3"/>
      <x:c r="S14" s="3"/>
      <x:c r="T14" s="3"/>
      <x:c r="U14" s="3"/>
      <x:c r="V14" s="3"/>
      <x:c r="W14" s="3"/>
    </x:row>
    <x:row r="15" ht="19" customHeight="1">
      <x:c r="A15" s="2"/>
      <x:c r="B15" s="2"/>
      <x:c r="C15" s="2" t="s">
        <x:v>21</x:v>
      </x:c>
      <x:c r="D15" s="3" t="n">
        <x:f>'Fee engine'!D97</x:f>
        <x:v>19</x:v>
      </x:c>
      <x:c r="E15" s="3" t="n">
        <x:f>'Fee engine'!E97</x:f>
        <x:v>48</x:v>
      </x:c>
      <x:c r="F15" s="3" t="n">
        <x:f>'Fee engine'!F97</x:f>
        <x:v>39</x:v>
      </x:c>
      <x:c r="G15" s="3" t="n">
        <x:f>'Fee engine'!G97</x:f>
        <x:v>50</x:v>
      </x:c>
      <x:c r="H15" s="3" t="n">
        <x:f>'Fee engine'!H97</x:f>
        <x:v>19</x:v>
      </x:c>
      <x:c r="I15" s="3" t="n">
        <x:f>'Fee engine'!I97</x:f>
        <x:v>38</x:v>
      </x:c>
      <x:c r="J15" s="3" t="n">
        <x:f>'Fee engine'!J97</x:f>
        <x:v>18</x:v>
      </x:c>
      <x:c r="K15" s="3" t="n">
        <x:f>'Fee engine'!K97</x:f>
        <x:v>37</x:v>
      </x:c>
      <x:c r="L15" s="3" t="n">
        <x:f>'Fee engine'!L97</x:f>
        <x:v>19</x:v>
      </x:c>
      <x:c r="M15" s="3" t="n">
        <x:f>'Fee engine'!M97</x:f>
        <x:v>38</x:v>
      </x:c>
      <x:c r="N15" s="3"/>
      <x:c r="O15" s="3"/>
      <x:c r="P15" s="3"/>
      <x:c r="Q15" s="3"/>
      <x:c r="R15" s="3"/>
      <x:c r="S15" s="3"/>
      <x:c r="T15" s="3"/>
      <x:c r="U15" s="3"/>
      <x:c r="V15" s="3"/>
      <x:c r="W15" s="3"/>
    </x:row>
    <x:row r="16" ht="19" customHeight="1">
      <x:c r="A16" s="2"/>
      <x:c r="B16" s="2"/>
      <x:c r="C16" s="2" t="s">
        <x:v>22</x:v>
      </x:c>
      <x:c r="D16" s="3" t="n">
        <x:f>'Fee engine'!D98</x:f>
        <x:v>2</x:v>
      </x:c>
      <x:c r="E16" s="3" t="n">
        <x:f>'Fee engine'!E98</x:f>
        <x:v>5</x:v>
      </x:c>
      <x:c r="F16" s="3" t="n">
        <x:f>'Fee engine'!F98</x:f>
        <x:v>1</x:v>
      </x:c>
      <x:c r="G16" s="3" t="n">
        <x:f>'Fee engine'!G98</x:f>
        <x:v>2</x:v>
      </x:c>
      <x:c r="H16" s="3" t="n">
        <x:f>'Fee engine'!H98</x:f>
        <x:v>1</x:v>
      </x:c>
      <x:c r="I16" s="3" t="n">
        <x:f>'Fee engine'!I98</x:f>
        <x:v>2</x:v>
      </x:c>
      <x:c r="J16" s="3" t="n">
        <x:f>'Fee engine'!J98</x:f>
        <x:v>1</x:v>
      </x:c>
      <x:c r="K16" s="3" t="n">
        <x:f>'Fee engine'!K98</x:f>
        <x:v>2</x:v>
      </x:c>
      <x:c r="L16" s="3" t="n">
        <x:f>'Fee engine'!L98</x:f>
        <x:v>1</x:v>
      </x:c>
      <x:c r="M16" s="3" t="n">
        <x:f>'Fee engine'!M98</x:f>
        <x:v>2</x:v>
      </x:c>
      <x:c r="N16" s="3"/>
      <x:c r="O16" s="3"/>
      <x:c r="P16" s="3"/>
      <x:c r="Q16" s="3"/>
      <x:c r="R16" s="3"/>
      <x:c r="S16" s="3"/>
      <x:c r="T16" s="3"/>
      <x:c r="U16" s="3"/>
      <x:c r="V16" s="3"/>
      <x:c r="W16" s="3"/>
    </x:row>
    <x:row r="17" ht="19" customHeight="1">
      <x:c r="A17" s="2"/>
      <x:c r="B17" s="2"/>
      <x:c r="C17" s="41" t="s">
        <x:v>23</x:v>
      </x:c>
      <x:c r="D17" s="42" t="n">
        <x:f>'Fee engine'!D99</x:f>
        <x:v>513</x:v>
      </x:c>
      <x:c r="E17" s="42" t="n">
        <x:f>'Fee engine'!E99</x:f>
        <x:v>1196</x:v>
      </x:c>
      <x:c r="F17" s="42" t="n">
        <x:f>'Fee engine'!F99</x:f>
        <x:v>761</x:v>
      </x:c>
      <x:c r="G17" s="42" t="n">
        <x:f>'Fee engine'!G99</x:f>
        <x:v>1459</x:v>
      </x:c>
      <x:c r="H17" s="42" t="n">
        <x:f>'Fee engine'!H99</x:f>
        <x:v>604</x:v>
      </x:c>
      <x:c r="I17" s="42" t="n">
        <x:f>'Fee engine'!I99</x:f>
        <x:v>1398</x:v>
      </x:c>
      <x:c r="J17" s="42" t="n">
        <x:f>'Fee engine'!J99</x:f>
        <x:v>853</x:v>
      </x:c>
      <x:c r="K17" s="42" t="n">
        <x:f>'Fee engine'!K99</x:f>
        <x:v>1814.9429499999997</x:v>
      </x:c>
      <x:c r="L17" s="42" t="n">
        <x:f>'Fee engine'!L99</x:f>
        <x:v>851.7950618437496</x:v>
      </x:c>
      <x:c r="M17" s="42" t="n">
        <x:f>'Fee engine'!M99</x:f>
        <x:v>1889.307873693339</x:v>
      </x:c>
      <x:c r="N17" s="3"/>
      <x:c r="O17" s="3"/>
      <x:c r="P17" s="3"/>
      <x:c r="Q17" s="3"/>
      <x:c r="R17" s="3"/>
      <x:c r="S17" s="3"/>
      <x:c r="T17" s="3"/>
      <x:c r="U17" s="3"/>
      <x:c r="V17" s="3"/>
      <x:c r="W17" s="3"/>
    </x:row>
    <x:row r="18" ht="19" customHeight="1">
      <x:c r="A18" s="2"/>
      <x:c r="B18" s="2"/>
      <x:c r="C18" s="2"/>
      <x:c r="D18" s="3"/>
      <x:c r="E18" s="3"/>
      <x:c r="F18" s="3"/>
      <x:c r="G18" s="3"/>
      <x:c r="H18" s="3"/>
      <x:c r="I18" s="3"/>
      <x:c r="J18" s="3"/>
      <x:c r="K18" s="3"/>
      <x:c r="L18" s="3"/>
      <x:c r="M18" s="3"/>
      <x:c r="N18" s="3"/>
      <x:c r="O18" s="3"/>
      <x:c r="P18" s="3"/>
      <x:c r="Q18" s="3"/>
      <x:c r="R18" s="3"/>
      <x:c r="S18" s="3"/>
      <x:c r="T18" s="3"/>
      <x:c r="U18" s="3"/>
      <x:c r="V18" s="3"/>
      <x:c r="W18" s="3"/>
    </x:row>
    <x:row r="19" ht="19" customHeight="1">
      <x:c r="A19" s="2"/>
      <x:c r="B19" s="2"/>
      <x:c r="C19" s="2" t="s">
        <x:v>24</x:v>
      </x:c>
      <x:c r="D19" s="3" t="n">
        <x:f>'Fee engine'!D100</x:f>
        <x:v>-370</x:v>
      </x:c>
      <x:c r="E19" s="3" t="n">
        <x:f>'Fee engine'!E100</x:f>
        <x:v>-834</x:v>
      </x:c>
      <x:c r="F19" s="3" t="n">
        <x:f>'Fee engine'!F100</x:f>
        <x:v>-487</x:v>
      </x:c>
      <x:c r="G19" s="3" t="n">
        <x:f>'Fee engine'!G100</x:f>
        <x:v>-960.0000000000001</x:v>
      </x:c>
      <x:c r="H19" s="3" t="n">
        <x:f>'Fee engine'!H100</x:f>
        <x:v>-449</x:v>
      </x:c>
      <x:c r="I19" s="3" t="n">
        <x:f>'Fee engine'!I100</x:f>
        <x:v>-970</x:v>
      </x:c>
      <x:c r="J19" s="3" t="n">
        <x:f>'Fee engine'!J100</x:f>
        <x:v>-546</x:v>
      </x:c>
      <x:c r="K19" s="3" t="n">
        <x:f>'Fee engine'!K100</x:f>
        <x:v>-1124.404322034071</x:v>
      </x:c>
      <x:c r="L19" s="3" t="n">
        <x:f>'Fee engine'!L100</x:f>
        <x:v>-498.5594068245066</x:v>
      </x:c>
      <x:c r="M19" s="3" t="n">
        <x:f>'Fee engine'!M100</x:f>
        <x:v>-1096.553767632043</x:v>
      </x:c>
      <x:c r="N19" s="3"/>
      <x:c r="O19" s="3"/>
      <x:c r="P19" s="3"/>
      <x:c r="Q19" s="3"/>
      <x:c r="R19" s="3"/>
      <x:c r="S19" s="3"/>
      <x:c r="T19" s="3"/>
      <x:c r="U19" s="3"/>
      <x:c r="V19" s="3"/>
      <x:c r="W19" s="3"/>
    </x:row>
    <x:row r="20" ht="19" customHeight="1">
      <x:c r="A20" s="2"/>
      <x:c r="B20" s="2"/>
      <x:c r="C20" s="41" t="s">
        <x:v>25</x:v>
      </x:c>
      <x:c r="D20" s="42" t="n">
        <x:f>'Fee engine'!D101</x:f>
        <x:v>142.99999999999997</x:v>
      </x:c>
      <x:c r="E20" s="42" t="n">
        <x:f>'Fee engine'!E101</x:f>
        <x:v>362.00000000000006</x:v>
      </x:c>
      <x:c r="F20" s="42" t="n">
        <x:f>'Fee engine'!F101</x:f>
        <x:v>274</x:v>
      </x:c>
      <x:c r="G20" s="42" t="n">
        <x:f>'Fee engine'!G101</x:f>
        <x:v>498.99999999999994</x:v>
      </x:c>
      <x:c r="H20" s="42" t="n">
        <x:f>'Fee engine'!H101</x:f>
        <x:v>154.99999999999997</x:v>
      </x:c>
      <x:c r="I20" s="42" t="n">
        <x:f>'Fee engine'!I101</x:f>
        <x:v>428</x:v>
      </x:c>
      <x:c r="J20" s="42" t="n">
        <x:f>'Fee engine'!J101</x:f>
        <x:v>306.99999999999994</x:v>
      </x:c>
      <x:c r="K20" s="42" t="n">
        <x:f>'Fee engine'!K101</x:f>
        <x:v>690.5386279659288</x:v>
      </x:c>
      <x:c r="L20" s="42" t="n">
        <x:f>'Fee engine'!L101</x:f>
        <x:v>353.2356550192431</x:v>
      </x:c>
      <x:c r="M20" s="42" t="n">
        <x:f>'Fee engine'!M101</x:f>
        <x:v>792.7541060612962</x:v>
      </x:c>
      <x:c r="N20" s="3"/>
      <x:c r="O20" s="3"/>
      <x:c r="P20" s="3"/>
      <x:c r="Q20" s="3"/>
      <x:c r="R20" s="3"/>
      <x:c r="S20" s="3"/>
      <x:c r="T20" s="3"/>
      <x:c r="U20" s="3"/>
      <x:c r="V20" s="3"/>
      <x:c r="W20" s="3"/>
    </x:row>
    <x:row r="21" ht="19" customHeight="1">
      <x:c r="A21" s="2"/>
      <x:c r="B21" s="2"/>
      <x:c r="C21" s="2"/>
      <x:c r="D21" s="3"/>
      <x:c r="E21" s="3"/>
      <x:c r="F21" s="3"/>
      <x:c r="G21" s="3"/>
      <x:c r="H21" s="3"/>
      <x:c r="I21" s="3"/>
      <x:c r="J21" s="3"/>
      <x:c r="K21" s="3"/>
      <x:c r="L21" s="3"/>
      <x:c r="M21" s="3"/>
      <x:c r="N21" s="3"/>
      <x:c r="O21" s="3"/>
      <x:c r="P21" s="3"/>
      <x:c r="Q21" s="3"/>
      <x:c r="R21" s="3"/>
      <x:c r="S21" s="3"/>
      <x:c r="T21" s="3"/>
      <x:c r="U21" s="3"/>
      <x:c r="V21" s="3"/>
      <x:c r="W21" s="3"/>
    </x:row>
    <x:row r="22" ht="19" customHeight="1">
      <x:c r="A22" s="2"/>
      <x:c r="B22" s="2"/>
      <x:c r="C22" s="2" t="s">
        <x:v>26</x:v>
      </x:c>
      <x:c r="D22" s="3" t="n">
        <x:f>'Fee engine'!D102</x:f>
        <x:v>133</x:v>
      </x:c>
      <x:c r="E22" s="3" t="n">
        <x:f>'Fee engine'!E102</x:f>
        <x:v>280</x:v>
      </x:c>
      <x:c r="F22" s="3" t="n">
        <x:f>'Fee engine'!F102</x:f>
        <x:v>162.99999999999997</x:v>
      </x:c>
      <x:c r="G22" s="3" t="n">
        <x:f>'Fee engine'!G102</x:f>
        <x:v>323</x:v>
      </x:c>
      <x:c r="H22" s="3" t="n">
        <x:f>'Fee engine'!H102</x:f>
        <x:v>129.99999999999994</x:v>
      </x:c>
      <x:c r="I22" s="3" t="n">
        <x:f>'Fee engine'!I102</x:f>
        <x:v>293.99999999999994</x:v>
      </x:c>
      <x:c r="J22" s="3" t="n">
        <x:f>'Fee engine'!J102</x:f>
        <x:v>186</x:v>
      </x:c>
      <x:c r="K22" s="3" t="n">
        <x:f>'Fee engine'!K102</x:f>
        <x:v>473.73768752705735</x:v>
      </x:c>
      <x:c r="L22" s="3" t="n">
        <x:f>'Fee engine'!L102</x:f>
        <x:v>315.03659545811456</x:v>
      </x:c>
      <x:c r="M22" s="3" t="n">
        <x:f>'Fee engine'!M102</x:f>
        <x:v>658.7541060612962</x:v>
      </x:c>
      <x:c r="N22" s="3"/>
      <x:c r="O22" s="3"/>
      <x:c r="P22" s="3"/>
      <x:c r="Q22" s="3"/>
      <x:c r="R22" s="3"/>
      <x:c r="S22" s="3"/>
      <x:c r="T22" s="3"/>
      <x:c r="U22" s="3"/>
      <x:c r="V22" s="3"/>
      <x:c r="W22" s="3"/>
    </x:row>
    <x:row r="23" ht="19" customHeight="1">
      <x:c r="A23" s="2"/>
      <x:c r="B23" s="2"/>
      <x:c r="C23" s="2" t="s">
        <x:v>27</x:v>
      </x:c>
      <x:c r="D23" s="3" t="n">
        <x:f>'Fee engine'!D103</x:f>
        <x:v>3.9999999999999956</x:v>
      </x:c>
      <x:c r="E23" s="3" t="n">
        <x:f>'Fee engine'!E103</x:f>
        <x:v>60</x:v>
      </x:c>
      <x:c r="F23" s="3" t="n">
        <x:f>'Fee engine'!F103</x:f>
        <x:v>94</x:v>
      </x:c>
      <x:c r="G23" s="3" t="n">
        <x:f>'Fee engine'!G103</x:f>
        <x:v>150</x:v>
      </x:c>
      <x:c r="H23" s="3" t="n">
        <x:f>'Fee engine'!H103</x:f>
        <x:v>16.000000000000007</x:v>
      </x:c>
      <x:c r="I23" s="3" t="n">
        <x:f>'Fee engine'!I103</x:f>
        <x:v>113</x:v>
      </x:c>
      <x:c r="J23" s="3" t="n">
        <x:f>'Fee engine'!J103</x:f>
        <x:v>111</x:v>
      </x:c>
      <x:c r="K23" s="3" t="n">
        <x:f>'Fee engine'!K103</x:f>
        <x:v>196.03937460257254</x:v>
      </x:c>
      <x:c r="L23" s="3" t="n">
        <x:f>'Fee engine'!L103</x:f>
        <x:v>27.96062539742747</x:v>
      </x:c>
      <x:c r="M23" s="3" t="n">
        <x:f>'Fee engine'!M103</x:f>
        <x:v>113.00000000000003</x:v>
      </x:c>
      <x:c r="N23" s="3"/>
      <x:c r="O23" s="3"/>
      <x:c r="P23" s="3"/>
      <x:c r="Q23" s="3"/>
      <x:c r="R23" s="3"/>
      <x:c r="S23" s="3"/>
      <x:c r="T23" s="3"/>
      <x:c r="U23" s="3"/>
      <x:c r="V23" s="3"/>
      <x:c r="W23" s="3"/>
    </x:row>
    <x:row r="24" ht="19" customHeight="1">
      <x:c r="A24" s="2"/>
      <x:c r="B24" s="2"/>
      <x:c r="C24" s="41" t="s">
        <x:v>28</x:v>
      </x:c>
      <x:c r="D24" s="42" t="n">
        <x:f>'Fee engine'!D104</x:f>
        <x:v>136.99999999999997</x:v>
      </x:c>
      <x:c r="E24" s="42" t="n">
        <x:f>'Fee engine'!E104</x:f>
        <x:v>340</x:v>
      </x:c>
      <x:c r="F24" s="42" t="n">
        <x:f>'Fee engine'!F104</x:f>
        <x:v>257</x:v>
      </x:c>
      <x:c r="G24" s="42" t="n">
        <x:f>'Fee engine'!G104</x:f>
        <x:v>473</x:v>
      </x:c>
      <x:c r="H24" s="42" t="n">
        <x:f>'Fee engine'!H104</x:f>
        <x:v>145.99999999999994</x:v>
      </x:c>
      <x:c r="I24" s="42" t="n">
        <x:f>'Fee engine'!I104</x:f>
        <x:v>406.99999999999994</x:v>
      </x:c>
      <x:c r="J24" s="42" t="n">
        <x:f>'Fee engine'!J104</x:f>
        <x:v>297</x:v>
      </x:c>
      <x:c r="K24" s="42" t="n">
        <x:f>'Fee engine'!K104</x:f>
        <x:v>669.7770621296299</x:v>
      </x:c>
      <x:c r="L24" s="42" t="n">
        <x:f>'Fee engine'!L104</x:f>
        <x:v>342.9972208555421</x:v>
      </x:c>
      <x:c r="M24" s="42" t="n">
        <x:f>'Fee engine'!M104</x:f>
        <x:v>771.7541060612963</x:v>
      </x:c>
      <x:c r="N24" s="3"/>
      <x:c r="O24" s="3"/>
      <x:c r="P24" s="3"/>
      <x:c r="Q24" s="3"/>
      <x:c r="R24" s="3"/>
      <x:c r="S24" s="3"/>
      <x:c r="T24" s="3"/>
      <x:c r="U24" s="3"/>
      <x:c r="V24" s="3"/>
      <x:c r="W24" s="3"/>
    </x:row>
    <x:row r="25" ht="19" customHeight="1">
      <x:c r="A25" s="2"/>
      <x:c r="B25" s="2"/>
      <x:c r="C25" s="2" t="s">
        <x:v>29</x:v>
      </x:c>
      <x:c r="D25" s="3" t="n">
        <x:f>'Fee engine'!D105</x:f>
        <x:v>-28.999999999999996</x:v>
      </x:c>
      <x:c r="E25" s="3" t="n">
        <x:f>'Fee engine'!E105</x:f>
        <x:v>-69</x:v>
      </x:c>
      <x:c r="F25" s="3" t="n">
        <x:f>'Fee engine'!F105</x:f>
        <x:v>-53</x:v>
      </x:c>
      <x:c r="G25" s="3" t="n">
        <x:f>'Fee engine'!G105</x:f>
        <x:v>-92</x:v>
      </x:c>
      <x:c r="H25" s="3" t="n">
        <x:f>'Fee engine'!H105</x:f>
        <x:v>-32.999999999999986</x:v>
      </x:c>
      <x:c r="I25" s="3" t="n">
        <x:f>'Fee engine'!I105</x:f>
        <x:v>-85.99999999999999</x:v>
      </x:c>
      <x:c r="J25" s="3" t="n">
        <x:f>'Fee engine'!J105</x:f>
        <x:v>-67</x:v>
      </x:c>
      <x:c r="K25" s="3" t="n">
        <x:f>'Fee engine'!K105</x:f>
        <x:v>-145.7686175507326</x:v>
      </x:c>
      <x:c r="L25" s="3" t="n">
        <x:f>'Fee engine'!L105</x:f>
        <x:v>-72.47607123728898</x:v>
      </x:c>
      <x:c r="M25" s="3" t="n">
        <x:f>'Fee engine'!M105</x:f>
        <x:v>-163.07334919231323</x:v>
      </x:c>
      <x:c r="N25" s="3"/>
      <x:c r="O25" s="3"/>
      <x:c r="P25" s="3"/>
      <x:c r="Q25" s="3"/>
      <x:c r="R25" s="3"/>
      <x:c r="S25" s="3"/>
      <x:c r="T25" s="3"/>
      <x:c r="U25" s="3"/>
      <x:c r="V25" s="3"/>
      <x:c r="W25" s="3"/>
    </x:row>
    <x:row r="26" ht="19" customHeight="1">
      <x:c r="A26" s="2"/>
      <x:c r="B26" s="2"/>
      <x:c r="C26" s="41" t="s">
        <x:v>30</x:v>
      </x:c>
      <x:c r="D26" s="42" t="n">
        <x:f>'Fee engine'!D106</x:f>
        <x:v>107.99999999999997</x:v>
      </x:c>
      <x:c r="E26" s="42" t="n">
        <x:f>'Fee engine'!E106</x:f>
        <x:v>271</x:v>
      </x:c>
      <x:c r="F26" s="42" t="n">
        <x:f>'Fee engine'!F106</x:f>
        <x:v>203.99999999999997</x:v>
      </x:c>
      <x:c r="G26" s="42" t="n">
        <x:f>'Fee engine'!G106</x:f>
        <x:v>381</x:v>
      </x:c>
      <x:c r="H26" s="42" t="n">
        <x:f>'Fee engine'!H106</x:f>
        <x:v>112.99999999999994</x:v>
      </x:c>
      <x:c r="I26" s="42" t="n">
        <x:f>'Fee engine'!I106</x:f>
        <x:v>320.99999999999994</x:v>
      </x:c>
      <x:c r="J26" s="42" t="n">
        <x:f>'Fee engine'!J106</x:f>
        <x:v>230.00000000000003</x:v>
      </x:c>
      <x:c r="K26" s="42" t="n">
        <x:f>'Fee engine'!K106</x:f>
        <x:v>524.0084445788973</x:v>
      </x:c>
      <x:c r="L26" s="42" t="n">
        <x:f>'Fee engine'!L106</x:f>
        <x:v>270.52114961825305</x:v>
      </x:c>
      <x:c r="M26" s="42" t="n">
        <x:f>'Fee engine'!M106</x:f>
        <x:v>608.680756868983</x:v>
      </x:c>
      <x:c r="N26" s="3"/>
      <x:c r="O26" s="3"/>
      <x:c r="P26" s="3"/>
      <x:c r="Q26" s="3"/>
      <x:c r="R26" s="3"/>
      <x:c r="S26" s="3"/>
      <x:c r="T26" s="3"/>
      <x:c r="U26" s="3"/>
      <x:c r="V26" s="3"/>
      <x:c r="W26" s="3"/>
    </x:row>
    <x:row r="27" ht="19" customHeight="1">
      <x:c r="A27" s="2"/>
      <x:c r="B27" s="2"/>
      <x:c r="C27" s="2" t="s">
        <x:v>31</x:v>
      </x:c>
      <x:c r="D27" s="3" t="n">
        <x:f>'Fee engine'!D107</x:f>
        <x:v>1217</x:v>
      </x:c>
      <x:c r="E27" s="3" t="n">
        <x:f>'Fee engine'!E107</x:f>
        <x:v>1207.0554419999999</x:v>
      </x:c>
      <x:c r="F27" s="3" t="n">
        <x:f>'Fee engine'!F107</x:f>
        <x:v>1192</x:v>
      </x:c>
      <x:c r="G27" s="3" t="n">
        <x:f>'Fee engine'!G107</x:f>
        <x:v>1189.075845</x:v>
      </x:c>
      <x:c r="H27" s="3" t="n">
        <x:f>'Fee engine'!H107</x:f>
        <x:v>1168</x:v>
      </x:c>
      <x:c r="I27" s="3" t="n">
        <x:f>'Fee engine'!I107</x:f>
        <x:v>1164.877368</x:v>
      </x:c>
      <x:c r="J27" s="3" t="n">
        <x:f>'Fee engine'!J107</x:f>
        <x:v>1153</x:v>
      </x:c>
      <x:c r="K27" s="3" t="n">
        <x:f>'Fee engine'!K107</x:f>
        <x:v>1158.9874951013699</x:v>
      </x:c>
      <x:c r="L27" s="3" t="n">
        <x:f>'Fee engine'!L107</x:f>
        <x:v>1164.877368</x:v>
      </x:c>
      <x:c r="M27" s="3" t="n">
        <x:f>'Fee engine'!M107</x:f>
        <x:v>1164.877368</x:v>
      </x:c>
      <x:c r="N27" s="3"/>
      <x:c r="O27" s="3"/>
      <x:c r="P27" s="3"/>
      <x:c r="Q27" s="3"/>
      <x:c r="R27" s="3"/>
      <x:c r="S27" s="3"/>
      <x:c r="T27" s="3"/>
      <x:c r="U27" s="3"/>
      <x:c r="V27" s="3"/>
      <x:c r="W27" s="3"/>
    </x:row>
    <x:row r="28" ht="19" customHeight="1">
      <x:c r="A28" s="2"/>
      <x:c r="B28" s="2"/>
      <x:c r="C28" s="41" t="s">
        <x:v>32</x:v>
      </x:c>
      <x:c r="D28" s="55" t="n">
        <x:f>'Fee engine'!D108</x:f>
        <x:v>8.874281018898929</x:v>
      </x:c>
      <x:c r="E28" s="55" t="n">
        <x:f>'Fee engine'!E108</x:f>
        <x:v>22.451329953077668</x:v>
      </x:c>
      <x:c r="F28" s="55" t="n">
        <x:f>'Fee engine'!F108</x:f>
        <x:v>17.11409395973154</x:v>
      </x:c>
      <x:c r="G28" s="55" t="n">
        <x:f>'Fee engine'!G108</x:f>
        <x:v>32.04169032632229</x:v>
      </x:c>
      <x:c r="H28" s="55" t="n">
        <x:f>'Fee engine'!H108</x:f>
        <x:v>9.67465753424657</x:v>
      </x:c>
      <x:c r="I28" s="55" t="n">
        <x:f>'Fee engine'!I108</x:f>
        <x:v>27.55654876797297</x:v>
      </x:c>
      <x:c r="J28" s="55" t="n">
        <x:f>'Fee engine'!J108</x:f>
        <x:v>19.947961838681703</x:v>
      </x:c>
      <x:c r="K28" s="55" t="n">
        <x:f>'Fee engine'!K108</x:f>
        <x:v>45.21260555387315</x:v>
      </x:c>
      <x:c r="L28" s="55" t="n">
        <x:f>'Fee engine'!L108</x:f>
        <x:v>23.22314408792369</x:v>
      </x:c>
      <x:c r="M28" s="55" t="n">
        <x:f>'Fee engine'!M108</x:f>
        <x:v>52.25277557877518</x:v>
      </x:c>
      <x:c r="N28" s="3"/>
      <x:c r="O28" s="3"/>
      <x:c r="P28" s="3"/>
      <x:c r="Q28" s="3"/>
      <x:c r="R28" s="3"/>
      <x:c r="S28" s="3"/>
      <x:c r="T28" s="3"/>
      <x:c r="U28" s="3"/>
      <x:c r="V28" s="3"/>
      <x:c r="W28" s="3"/>
    </x:row>
    <x:row r="29" ht="19" customHeight="1">
      <x:c r="A29" s="2"/>
      <x:c r="B29" s="2"/>
      <x:c r="C29" s="2"/>
      <x:c r="D29" s="3"/>
      <x:c r="E29" s="3"/>
      <x:c r="F29" s="3"/>
      <x:c r="G29" s="3"/>
      <x:c r="H29" s="3"/>
      <x:c r="I29" s="3"/>
      <x:c r="J29" s="3"/>
      <x:c r="K29" s="3"/>
      <x:c r="L29" s="3"/>
      <x:c r="M29" s="3"/>
      <x:c r="N29" s="3"/>
      <x:c r="O29" s="3"/>
      <x:c r="P29" s="3"/>
      <x:c r="Q29" s="3"/>
      <x:c r="R29" s="3"/>
      <x:c r="S29" s="3"/>
      <x:c r="T29" s="3"/>
      <x:c r="U29" s="3"/>
      <x:c r="V29" s="3"/>
      <x:c r="W29" s="3"/>
    </x:row>
    <x:row r="30" ht="19" customHeight="1">
      <x:c r="A30" s="2"/>
      <x:c r="B30" s="2"/>
      <x:c r="C30" s="2"/>
      <x:c r="D30" s="3"/>
      <x:c r="E30" s="3"/>
      <x:c r="F30" s="3"/>
      <x:c r="G30" s="3"/>
      <x:c r="H30" s="3"/>
      <x:c r="I30" s="3"/>
      <x:c r="J30" s="3"/>
      <x:c r="K30" s="3"/>
      <x:c r="L30" s="3"/>
      <x:c r="M30" s="3"/>
      <x:c r="N30" s="3"/>
      <x:c r="O30" s="3"/>
      <x:c r="P30" s="3"/>
      <x:c r="Q30" s="3"/>
      <x:c r="R30" s="3"/>
      <x:c r="S30" s="3"/>
      <x:c r="T30" s="3"/>
      <x:c r="U30" s="3"/>
      <x:c r="V30" s="3"/>
      <x:c r="W30" s="3"/>
    </x:row>
    <x:row r="31" ht="19" customHeight="1">
      <x:c r="A31" s="2"/>
      <x:c r="B31" s="2"/>
      <x:c r="C31" s="11" t="s">
        <x:v>33</x:v>
      </x:c>
      <x:c r="D31" s="12"/>
      <x:c r="E31" s="12"/>
      <x:c r="F31" s="12"/>
      <x:c r="G31" s="12"/>
      <x:c r="H31" s="12"/>
      <x:c r="I31" s="12"/>
      <x:c r="J31" s="12"/>
      <x:c r="K31" s="12"/>
      <x:c r="L31" s="12"/>
      <x:c r="M31" s="12"/>
      <x:c r="N31" s="3"/>
      <x:c r="O31" s="3"/>
      <x:c r="P31" s="3"/>
      <x:c r="Q31" s="3"/>
      <x:c r="R31" s="3"/>
      <x:c r="S31" s="3"/>
      <x:c r="T31" s="3"/>
      <x:c r="U31" s="3"/>
      <x:c r="V31" s="3"/>
      <x:c r="W31" s="3"/>
    </x:row>
    <x:row r="32" ht="19" customHeight="1">
      <x:c r="A32" s="2"/>
      <x:c r="B32" s="2"/>
      <x:c r="C32" s="2"/>
      <x:c r="D32" s="3"/>
      <x:c r="E32" s="3"/>
      <x:c r="F32" s="3"/>
      <x:c r="G32" s="3"/>
      <x:c r="H32" s="3"/>
      <x:c r="I32" s="3"/>
      <x:c r="J32" s="3"/>
      <x:c r="K32" s="3"/>
      <x:c r="L32" s="3"/>
      <x:c r="M32" s="3"/>
      <x:c r="N32" s="3"/>
      <x:c r="O32" s="3"/>
      <x:c r="P32" s="3"/>
      <x:c r="Q32" s="3"/>
      <x:c r="R32" s="3"/>
      <x:c r="S32" s="3"/>
      <x:c r="T32" s="3"/>
      <x:c r="U32" s="3"/>
      <x:c r="V32" s="3"/>
      <x:c r="W32" s="3"/>
    </x:row>
    <x:row r="33" ht="19" customHeight="1">
      <x:c r="A33" s="2"/>
      <x:c r="B33" s="2"/>
      <x:c r="C33" s="2" t="s">
        <x:v>34</x:v>
      </x:c>
      <x:c r="D33" s="3" t="s">
        <x:v>35</x:v>
      </x:c>
      <x:c r="E33" s="3"/>
      <x:c r="F33" s="3"/>
      <x:c r="G33" s="3"/>
      <x:c r="H33" s="3"/>
      <x:c r="I33" s="3"/>
      <x:c r="J33" s="3"/>
      <x:c r="K33" s="3"/>
      <x:c r="L33" s="3"/>
      <x:c r="M33" s="3"/>
      <x:c r="N33" s="3"/>
      <x:c r="O33" s="3"/>
      <x:c r="P33" s="3"/>
      <x:c r="Q33" s="3"/>
      <x:c r="R33" s="3"/>
      <x:c r="S33" s="3"/>
      <x:c r="T33" s="3"/>
      <x:c r="U33" s="3"/>
      <x:c r="V33" s="3"/>
      <x:c r="W33" s="3"/>
    </x:row>
    <x:row r="34" ht="19" customHeight="1">
      <x:c r="A34" s="2"/>
      <x:c r="B34" s="2"/>
      <x:c r="C34" s="2" t="s">
        <x:v>36</x:v>
      </x:c>
      <x:c r="D34" s="3" t="s">
        <x:v>37</x:v>
      </x:c>
      <x:c r="E34" s="3"/>
      <x:c r="F34" s="3"/>
      <x:c r="G34" s="3"/>
      <x:c r="H34" s="3"/>
      <x:c r="I34" s="3"/>
      <x:c r="J34" s="3"/>
      <x:c r="K34" s="3"/>
      <x:c r="L34" s="3"/>
      <x:c r="M34" s="3"/>
      <x:c r="N34" s="3"/>
      <x:c r="O34" s="3"/>
      <x:c r="P34" s="3"/>
      <x:c r="Q34" s="3"/>
      <x:c r="R34" s="3"/>
      <x:c r="S34" s="3"/>
      <x:c r="T34" s="3"/>
      <x:c r="U34" s="3"/>
      <x:c r="V34" s="3"/>
      <x:c r="W34" s="3"/>
    </x:row>
    <x:row r="35" ht="19" customHeight="1">
      <x:c r="A35" s="2"/>
      <x:c r="B35" s="2"/>
      <x:c r="C35" s="2" t="s">
        <x:v>38</x:v>
      </x:c>
      <x:c r="D35" s="3" t="s">
        <x:v>39</x:v>
      </x:c>
      <x:c r="E35" s="3"/>
      <x:c r="F35" s="3"/>
      <x:c r="G35" s="3"/>
      <x:c r="H35" s="3"/>
      <x:c r="I35" s="3"/>
      <x:c r="J35" s="3"/>
      <x:c r="K35" s="3"/>
      <x:c r="L35" s="3"/>
      <x:c r="M35" s="3"/>
      <x:c r="N35" s="3"/>
      <x:c r="O35" s="3"/>
      <x:c r="P35" s="3"/>
      <x:c r="Q35" s="3"/>
      <x:c r="R35" s="3"/>
      <x:c r="S35" s="3"/>
      <x:c r="T35" s="3"/>
      <x:c r="U35" s="3"/>
      <x:c r="V35" s="3"/>
      <x:c r="W35" s="3"/>
    </x:row>
    <x:row r="36" ht="19" customHeight="1">
      <x:c r="A36" s="2"/>
      <x:c r="B36" s="2"/>
      <x:c r="C36" s="2" t="s">
        <x:v>40</x:v>
      </x:c>
      <x:c r="D36" s="3" t="s">
        <x:v>41</x:v>
      </x:c>
      <x:c r="E36" s="3"/>
      <x:c r="F36" s="3"/>
      <x:c r="G36" s="3"/>
      <x:c r="H36" s="3"/>
      <x:c r="I36" s="3"/>
      <x:c r="J36" s="3"/>
      <x:c r="K36" s="3"/>
      <x:c r="L36" s="3"/>
      <x:c r="M36" s="3"/>
      <x:c r="N36" s="3"/>
      <x:c r="O36" s="3"/>
      <x:c r="P36" s="3"/>
      <x:c r="Q36" s="3"/>
      <x:c r="R36" s="3"/>
      <x:c r="S36" s="3"/>
      <x:c r="T36" s="3"/>
      <x:c r="U36" s="3"/>
      <x:c r="V36" s="3"/>
      <x:c r="W36" s="3"/>
    </x:row>
    <x:row r="37" ht="19" customHeight="1">
      <x:c r="A37" s="2"/>
      <x:c r="B37" s="2"/>
      <x:c r="C37" s="2" t="s">
        <x:v>42</x:v>
      </x:c>
      <x:c r="D37" s="3" t="s">
        <x:v>43</x:v>
      </x:c>
      <x:c r="E37" s="3"/>
      <x:c r="F37" s="3"/>
      <x:c r="G37" s="3"/>
      <x:c r="H37" s="3"/>
      <x:c r="I37" s="3"/>
      <x:c r="J37" s="3"/>
      <x:c r="K37" s="3"/>
      <x:c r="L37" s="3"/>
      <x:c r="M37" s="3"/>
      <x:c r="N37" s="3"/>
      <x:c r="O37" s="3"/>
      <x:c r="P37" s="3"/>
      <x:c r="Q37" s="3"/>
      <x:c r="R37" s="3"/>
      <x:c r="S37" s="3"/>
      <x:c r="T37" s="3"/>
      <x:c r="U37" s="3"/>
      <x:c r="V37" s="3"/>
      <x:c r="W37" s="3"/>
    </x:row>
    <x:row r="38" ht="19" customHeight="1">
      <x:c r="A38" s="2"/>
      <x:c r="B38" s="2"/>
      <x:c r="C38" s="2"/>
      <x:c r="D38" s="3"/>
      <x:c r="E38" s="3"/>
      <x:c r="F38" s="3"/>
      <x:c r="G38" s="3"/>
      <x:c r="H38" s="3"/>
      <x:c r="I38" s="3"/>
      <x:c r="J38" s="3"/>
      <x:c r="K38" s="3"/>
      <x:c r="L38" s="3"/>
      <x:c r="M38" s="3"/>
      <x:c r="N38" s="3"/>
      <x:c r="O38" s="3"/>
      <x:c r="P38" s="3"/>
      <x:c r="Q38" s="3"/>
      <x:c r="R38" s="3"/>
      <x:c r="S38" s="3"/>
      <x:c r="T38" s="3"/>
      <x:c r="U38" s="3"/>
      <x:c r="V38" s="3"/>
      <x:c r="W38" s="3"/>
    </x:row>
    <x:row r="39" ht="19" customHeight="1">
      <x:c r="A39" s="2"/>
      <x:c r="B39" s="2"/>
      <x:c r="C39" s="2"/>
      <x:c r="D39" s="3"/>
      <x:c r="E39" s="3"/>
      <x:c r="F39" s="3"/>
      <x:c r="G39" s="3"/>
      <x:c r="H39" s="3"/>
      <x:c r="I39" s="3"/>
      <x:c r="J39" s="3"/>
      <x:c r="K39" s="3"/>
      <x:c r="L39" s="3"/>
      <x:c r="M39" s="3"/>
      <x:c r="N39" s="3"/>
      <x:c r="O39" s="3"/>
      <x:c r="P39" s="3"/>
      <x:c r="Q39" s="3"/>
      <x:c r="R39" s="3"/>
      <x:c r="S39" s="3"/>
      <x:c r="T39" s="3"/>
      <x:c r="U39" s="3"/>
      <x:c r="V39" s="3"/>
      <x:c r="W39" s="3"/>
    </x:row>
    <x:row r="40" ht="19" customHeight="1">
      <x:c r="A40" s="2"/>
      <x:c r="B40" s="2"/>
      <x:c r="C40" s="11" t="s">
        <x:v>44</x:v>
      </x:c>
      <x:c r="D40" s="12"/>
      <x:c r="E40" s="12"/>
      <x:c r="F40" s="12"/>
      <x:c r="G40" s="12"/>
      <x:c r="H40" s="12"/>
      <x:c r="I40" s="12"/>
      <x:c r="J40" s="3"/>
      <x:c r="K40" s="3"/>
      <x:c r="L40" s="3"/>
      <x:c r="M40" s="3"/>
      <x:c r="N40" s="3"/>
      <x:c r="O40" s="3"/>
      <x:c r="P40" s="3"/>
      <x:c r="Q40" s="3"/>
      <x:c r="R40" s="3"/>
      <x:c r="S40" s="3"/>
      <x:c r="T40" s="3"/>
      <x:c r="U40" s="3"/>
      <x:c r="V40" s="3"/>
      <x:c r="W40" s="3"/>
    </x:row>
    <x:row r="41" ht="19" customHeight="1">
      <x:c r="A41" s="2"/>
      <x:c r="B41" s="2"/>
      <x:c r="C41" s="2" t="s">
        <x:v>45</x:v>
      </x:c>
      <x:c r="D41" s="3" t="s">
        <x:v>46</x:v>
      </x:c>
      <x:c r="E41" s="3" t="s">
        <x:v>47</x:v>
      </x:c>
      <x:c r="F41" s="3" t="s">
        <x:v>48</x:v>
      </x:c>
      <x:c r="G41" s="3"/>
      <x:c r="H41" s="3"/>
      <x:c r="I41" s="3"/>
      <x:c r="J41" s="3"/>
      <x:c r="K41" s="3"/>
      <x:c r="L41" s="3"/>
      <x:c r="M41" s="3"/>
      <x:c r="N41" s="3"/>
      <x:c r="O41" s="3"/>
      <x:c r="P41" s="3"/>
      <x:c r="Q41" s="3"/>
      <x:c r="R41" s="3"/>
      <x:c r="S41" s="3"/>
      <x:c r="T41" s="3"/>
      <x:c r="U41" s="3"/>
      <x:c r="V41" s="3"/>
      <x:c r="W41" s="3"/>
    </x:row>
    <x:row r="42" ht="19" customHeight="1">
      <x:c r="A42" s="2"/>
      <x:c r="B42" s="2"/>
      <x:c r="C42" s="2" t="s">
        <x:v>49</x:v>
      </x:c>
      <x:c r="D42" s="19" t="n">
        <x:f>Disclosures!D61/'Fee engine'!O17</x:f>
        <x:v>0.18673110720562391</x:v>
      </x:c>
      <x:c r="E42" s="19" t="n">
        <x:f>Disclosures!E61/Disclosures!I22</x:f>
        <x:v>0.3955431754874652</x:v>
      </x:c>
      <x:c r="F42" s="25" t="n">
        <x:f>Disclosures!F61</x:f>
        <x:v>105</x:v>
      </x:c>
      <x:c r="G42" s="3"/>
      <x:c r="H42" s="3"/>
      <x:c r="I42" s="3"/>
      <x:c r="J42" s="3"/>
      <x:c r="K42" s="3"/>
      <x:c r="L42" s="3"/>
      <x:c r="M42" s="3"/>
      <x:c r="N42" s="3"/>
      <x:c r="O42" s="3"/>
      <x:c r="P42" s="3"/>
      <x:c r="Q42" s="3"/>
      <x:c r="R42" s="3"/>
      <x:c r="S42" s="3"/>
      <x:c r="T42" s="3"/>
      <x:c r="U42" s="3"/>
      <x:c r="V42" s="3"/>
      <x:c r="W42" s="3"/>
    </x:row>
    <x:row r="43" ht="19" customHeight="1">
      <x:c r="A43" s="2"/>
      <x:c r="B43" s="2"/>
      <x:c r="C43" s="2" t="s">
        <x:v>50</x:v>
      </x:c>
      <x:c r="D43" s="19" t="n">
        <x:f>Disclosures!D62/'Fee engine'!O17</x:f>
        <x:v>0.20474516695957823</x:v>
      </x:c>
      <x:c r="E43" s="19" t="n">
        <x:f>Disclosures!E62/Disclosures!I22</x:f>
        <x:v>0.24976787372330547</x:v>
      </x:c>
      <x:c r="F43" s="25" t="n">
        <x:f>Disclosures!F62</x:f>
        <x:v>63</x:v>
      </x:c>
      <x:c r="G43" s="3"/>
      <x:c r="H43" s="3"/>
      <x:c r="I43" s="3"/>
      <x:c r="J43" s="3"/>
      <x:c r="K43" s="3"/>
      <x:c r="L43" s="3"/>
      <x:c r="M43" s="3"/>
      <x:c r="N43" s="3"/>
      <x:c r="O43" s="3"/>
      <x:c r="P43" s="3"/>
      <x:c r="Q43" s="3"/>
      <x:c r="R43" s="3"/>
      <x:c r="S43" s="3"/>
      <x:c r="T43" s="3"/>
      <x:c r="U43" s="3"/>
      <x:c r="V43" s="3"/>
      <x:c r="W43" s="3"/>
    </x:row>
    <x:row r="44" ht="19" customHeight="1">
      <x:c r="A44" s="2"/>
      <x:c r="B44" s="2"/>
      <x:c r="C44" s="2" t="s">
        <x:v>51</x:v>
      </x:c>
      <x:c r="D44" s="19" t="n">
        <x:f>Disclosures!D63/'Fee engine'!O17</x:f>
        <x:v>0.06370826010544815</x:v>
      </x:c>
      <x:c r="E44" s="19" t="n">
        <x:f>Disclosures!E63/Disclosures!I22</x:f>
        <x:v>0.025998142989786442</x:v>
      </x:c>
      <x:c r="F44" s="25" t="n">
        <x:f>Disclosures!F63</x:f>
        <x:v>20</x:v>
      </x:c>
      <x:c r="G44" s="3"/>
      <x:c r="H44" s="3"/>
      <x:c r="I44" s="3"/>
      <x:c r="J44" s="3"/>
      <x:c r="K44" s="3"/>
      <x:c r="L44" s="3"/>
      <x:c r="M44" s="3"/>
      <x:c r="N44" s="3"/>
      <x:c r="O44" s="3"/>
      <x:c r="P44" s="3"/>
      <x:c r="Q44" s="3"/>
      <x:c r="R44" s="3"/>
      <x:c r="S44" s="3"/>
      <x:c r="T44" s="3"/>
      <x:c r="U44" s="3"/>
      <x:c r="V44" s="3"/>
      <x:c r="W44" s="3"/>
    </x:row>
    <x:row r="45" ht="19" customHeight="1">
      <x:c r="A45" s="2"/>
      <x:c r="B45" s="2"/>
      <x:c r="C45" s="2" t="s">
        <x:v>52</x:v>
      </x:c>
      <x:c r="D45" s="19" t="n">
        <x:f>Disclosures!D64/'Fee engine'!O17</x:f>
        <x:v>0.3347978910369069</x:v>
      </x:c>
      <x:c r="E45" s="19" t="n">
        <x:f>Disclosures!E64/Disclosures!I22</x:f>
        <x:v>0.12627669452181986</x:v>
      </x:c>
      <x:c r="F45" s="25" t="n">
        <x:f>Disclosures!F64</x:f>
        <x:v>24</x:v>
      </x:c>
      <x:c r="G45" s="3"/>
      <x:c r="H45" s="3"/>
      <x:c r="I45" s="3"/>
      <x:c r="J45" s="3"/>
      <x:c r="K45" s="3"/>
      <x:c r="L45" s="3"/>
      <x:c r="M45" s="3"/>
      <x:c r="N45" s="3"/>
      <x:c r="O45" s="3"/>
      <x:c r="P45" s="3"/>
      <x:c r="Q45" s="3"/>
      <x:c r="R45" s="3"/>
      <x:c r="S45" s="3"/>
      <x:c r="T45" s="3"/>
      <x:c r="U45" s="3"/>
      <x:c r="V45" s="3"/>
      <x:c r="W45" s="3"/>
    </x:row>
    <x:row r="46" ht="19" customHeight="1">
      <x:c r="A46" s="2"/>
      <x:c r="B46" s="2"/>
      <x:c r="C46" s="2" t="s">
        <x:v>53</x:v>
      </x:c>
      <x:c r="D46" s="19" t="n">
        <x:f>Disclosures!D65/'Fee engine'!O17</x:f>
        <x:v>0.21001757469244287</x:v>
      </x:c>
      <x:c r="E46" s="19" t="n">
        <x:f>Disclosures!E65/Disclosures!I22</x:f>
        <x:v>0.19962859795728877</x:v>
      </x:c>
      <x:c r="F46" s="25" t="n">
        <x:f>Disclosures!F65</x:f>
        <x:v>57</x:v>
      </x:c>
      <x:c r="G46" s="3"/>
      <x:c r="H46" s="3"/>
      <x:c r="I46" s="3"/>
      <x:c r="J46" s="3"/>
      <x:c r="K46" s="3"/>
      <x:c r="L46" s="3"/>
      <x:c r="M46" s="3"/>
      <x:c r="N46" s="3"/>
      <x:c r="O46" s="3"/>
      <x:c r="P46" s="3"/>
      <x:c r="Q46" s="3"/>
      <x:c r="R46" s="3"/>
      <x:c r="S46" s="3"/>
      <x:c r="T46" s="3"/>
      <x:c r="U46" s="3"/>
      <x:c r="V46" s="3"/>
      <x:c r="W46" s="3"/>
    </x:row>
    <x:row r="47" ht="19" customHeight="1">
      <x:c r="A47" s="2"/>
      <x:c r="B47" s="2"/>
      <x:c r="C47" s="2"/>
      <x:c r="D47" s="3"/>
      <x:c r="E47" s="3"/>
      <x:c r="F47" s="3"/>
      <x:c r="G47" s="3"/>
      <x:c r="H47" s="3"/>
      <x:c r="I47" s="3"/>
      <x:c r="J47" s="3"/>
      <x:c r="K47" s="3"/>
      <x:c r="L47" s="3"/>
      <x:c r="M47" s="3"/>
      <x:c r="N47" s="3"/>
      <x:c r="O47" s="3"/>
      <x:c r="P47" s="3"/>
      <x:c r="Q47" s="3"/>
      <x:c r="R47" s="3"/>
      <x:c r="S47" s="3"/>
      <x:c r="T47" s="3"/>
      <x:c r="U47" s="3"/>
      <x:c r="V47" s="3"/>
      <x:c r="W47" s="3"/>
    </x:row>
    <x:row r="48" ht="19" customHeight="1">
      <x:c r="A48" s="2"/>
      <x:c r="B48" s="2"/>
      <x:c r="C48" s="2" t="s">
        <x:v>54</x:v>
      </x:c>
      <x:c r="D48" s="3"/>
      <x:c r="E48" s="3"/>
      <x:c r="F48" s="3"/>
      <x:c r="G48" s="3"/>
      <x:c r="H48" s="3"/>
      <x:c r="I48" s="3"/>
      <x:c r="J48" s="3"/>
      <x:c r="K48" s="3"/>
      <x:c r="L48" s="3"/>
      <x:c r="M48" s="3"/>
      <x:c r="N48" s="3"/>
      <x:c r="O48" s="3"/>
      <x:c r="P48" s="3"/>
      <x:c r="Q48" s="3"/>
      <x:c r="R48" s="3"/>
      <x:c r="S48" s="3"/>
      <x:c r="T48" s="3"/>
      <x:c r="U48" s="3"/>
      <x:c r="V48" s="3"/>
      <x:c r="W48" s="3"/>
    </x:row>
    <x:row r="49" ht="19" customHeight="1">
      <x:c r="A49" s="2"/>
      <x:c r="B49" s="2"/>
      <x:c r="C49" s="2"/>
      <x:c r="D49" s="3"/>
      <x:c r="E49" s="3"/>
      <x:c r="F49" s="3"/>
      <x:c r="G49" s="3"/>
      <x:c r="H49" s="3"/>
      <x:c r="I49" s="3"/>
      <x:c r="J49" s="3"/>
      <x:c r="K49" s="3"/>
      <x:c r="L49" s="3"/>
      <x:c r="M49" s="3"/>
      <x:c r="N49" s="3"/>
      <x:c r="O49" s="3"/>
      <x:c r="P49" s="3"/>
      <x:c r="Q49" s="3"/>
      <x:c r="R49" s="3"/>
      <x:c r="S49" s="3"/>
      <x:c r="T49" s="3"/>
      <x:c r="U49" s="3"/>
      <x:c r="V49" s="3"/>
      <x:c r="W49" s="3"/>
    </x:row>
    <x:row r="50" ht="19" customHeight="1">
      <x:c r="A50" s="2"/>
      <x:c r="B50" s="2"/>
      <x:c r="C50" s="2"/>
      <x:c r="D50" s="3"/>
      <x:c r="E50" s="3"/>
      <x:c r="F50" s="3"/>
      <x:c r="G50" s="3"/>
      <x:c r="H50" s="3"/>
      <x:c r="I50" s="3"/>
      <x:c r="J50" s="3"/>
      <x:c r="K50" s="3"/>
      <x:c r="L50" s="3"/>
      <x:c r="M50" s="3"/>
      <x:c r="N50" s="3"/>
      <x:c r="O50" s="3"/>
      <x:c r="P50" s="3"/>
      <x:c r="Q50" s="3"/>
      <x:c r="R50" s="3"/>
      <x:c r="S50" s="3"/>
      <x:c r="T50" s="3"/>
      <x:c r="U50" s="3"/>
      <x:c r="V50" s="3"/>
      <x:c r="W50" s="3"/>
    </x:row>
    <x:row r="51" ht="19" customHeight="1">
      <x:c r="A51" s="2"/>
      <x:c r="B51" s="2"/>
      <x:c r="C51" s="2"/>
      <x:c r="D51" s="3"/>
      <x:c r="E51" s="3"/>
      <x:c r="F51" s="3"/>
      <x:c r="G51" s="3"/>
      <x:c r="H51" s="3"/>
      <x:c r="I51" s="3"/>
      <x:c r="J51" s="3"/>
      <x:c r="K51" s="3"/>
      <x:c r="L51" s="3"/>
      <x:c r="M51" s="3"/>
      <x:c r="N51" s="3"/>
      <x:c r="O51" s="3"/>
      <x:c r="P51" s="3"/>
      <x:c r="Q51" s="3"/>
      <x:c r="R51" s="3"/>
      <x:c r="S51" s="3"/>
      <x:c r="T51" s="3"/>
      <x:c r="U51" s="3"/>
      <x:c r="V51" s="3"/>
      <x:c r="W51" s="3"/>
    </x:row>
    <x:row r="52" ht="19" customHeight="1">
      <x:c r="A52" s="2"/>
      <x:c r="B52" s="2"/>
      <x:c r="C52" s="2" t="s">
        <x:v>55</x:v>
      </x:c>
      <x:c r="D52" s="3" t="s">
        <x:v>56</x:v>
      </x:c>
      <x:c r="E52" s="3" t="s">
        <x:v>57</x:v>
      </x:c>
      <x:c r="F52" s="3" t="s">
        <x:v>58</x:v>
      </x:c>
      <x:c r="G52" s="3"/>
      <x:c r="H52" s="3"/>
      <x:c r="I52" s="3"/>
      <x:c r="J52" s="3"/>
      <x:c r="K52" s="3"/>
      <x:c r="L52" s="3"/>
      <x:c r="M52" s="3"/>
      <x:c r="N52" s="3"/>
      <x:c r="O52" s="3"/>
      <x:c r="P52" s="3"/>
      <x:c r="Q52" s="3"/>
      <x:c r="R52" s="3"/>
      <x:c r="S52" s="3"/>
      <x:c r="T52" s="3"/>
      <x:c r="U52" s="3"/>
      <x:c r="V52" s="3"/>
      <x:c r="W52" s="3"/>
    </x:row>
    <x:row r="53" ht="19" customHeight="1">
      <x:c r="A53" s="2"/>
      <x:c r="B53" s="2"/>
      <x:c r="C53" s="2" t="s">
        <x:v>4</x:v>
      </x:c>
      <x:c r="D53" s="3" t="n">
        <x:f>'Fee engine'!E102</x:f>
        <x:v>280</x:v>
      </x:c>
      <x:c r="E53" s="3" t="n">
        <x:f>'Fee engine'!E103</x:f>
        <x:v>60</x:v>
      </x:c>
      <x:c r="F53" s="3" t="n">
        <x:f>'Fee engine'!E104</x:f>
        <x:v>340</x:v>
      </x:c>
      <x:c r="G53" s="3"/>
      <x:c r="H53" s="3"/>
      <x:c r="I53" s="3"/>
      <x:c r="J53" s="3"/>
      <x:c r="K53" s="3"/>
      <x:c r="L53" s="3"/>
      <x:c r="M53" s="3"/>
      <x:c r="N53" s="3"/>
      <x:c r="O53" s="3"/>
      <x:c r="P53" s="3"/>
      <x:c r="Q53" s="3"/>
      <x:c r="R53" s="3"/>
      <x:c r="S53" s="3"/>
      <x:c r="T53" s="3"/>
      <x:c r="U53" s="3"/>
      <x:c r="V53" s="3"/>
      <x:c r="W53" s="3"/>
    </x:row>
    <x:row r="54" ht="19" customHeight="1">
      <x:c r="A54" s="2"/>
      <x:c r="B54" s="2"/>
      <x:c r="C54" s="2" t="s">
        <x:v>6</x:v>
      </x:c>
      <x:c r="D54" s="3" t="n">
        <x:f>'Fee engine'!G102</x:f>
        <x:v>323</x:v>
      </x:c>
      <x:c r="E54" s="3" t="n">
        <x:f>'Fee engine'!G103</x:f>
        <x:v>150</x:v>
      </x:c>
      <x:c r="F54" s="3" t="n">
        <x:f>'Fee engine'!G104</x:f>
        <x:v>473</x:v>
      </x:c>
      <x:c r="G54" s="3"/>
      <x:c r="H54" s="3"/>
      <x:c r="I54" s="3"/>
      <x:c r="J54" s="3"/>
      <x:c r="K54" s="3"/>
      <x:c r="L54" s="3"/>
      <x:c r="M54" s="3"/>
      <x:c r="N54" s="3"/>
      <x:c r="O54" s="3"/>
      <x:c r="P54" s="3"/>
      <x:c r="Q54" s="3"/>
      <x:c r="R54" s="3"/>
      <x:c r="S54" s="3"/>
      <x:c r="T54" s="3"/>
      <x:c r="U54" s="3"/>
      <x:c r="V54" s="3"/>
      <x:c r="W54" s="3"/>
    </x:row>
    <x:row r="55" ht="19" customHeight="1">
      <x:c r="A55" s="2"/>
      <x:c r="B55" s="2"/>
      <x:c r="C55" s="2" t="s">
        <x:v>8</x:v>
      </x:c>
      <x:c r="D55" s="3" t="n">
        <x:f>'Fee engine'!I102</x:f>
        <x:v>293.99999999999994</x:v>
      </x:c>
      <x:c r="E55" s="3" t="n">
        <x:f>'Fee engine'!I103</x:f>
        <x:v>113</x:v>
      </x:c>
      <x:c r="F55" s="3" t="n">
        <x:f>'Fee engine'!I104</x:f>
        <x:v>406.99999999999994</x:v>
      </x:c>
      <x:c r="G55" s="3"/>
      <x:c r="H55" s="3"/>
      <x:c r="I55" s="3"/>
      <x:c r="J55" s="3"/>
      <x:c r="K55" s="3"/>
      <x:c r="L55" s="3"/>
      <x:c r="M55" s="3"/>
      <x:c r="N55" s="3"/>
      <x:c r="O55" s="3"/>
      <x:c r="P55" s="3"/>
      <x:c r="Q55" s="3"/>
      <x:c r="R55" s="3"/>
      <x:c r="S55" s="3"/>
      <x:c r="T55" s="3"/>
      <x:c r="U55" s="3"/>
      <x:c r="V55" s="3"/>
      <x:c r="W55" s="3"/>
    </x:row>
    <x:row r="56" ht="19" customHeight="1">
      <x:c r="A56" s="2"/>
      <x:c r="B56" s="2"/>
      <x:c r="C56" s="2" t="s">
        <x:v>10</x:v>
      </x:c>
      <x:c r="D56" s="3" t="n">
        <x:f>'Fee engine'!K102</x:f>
        <x:v>473.73768752705735</x:v>
      </x:c>
      <x:c r="E56" s="3" t="n">
        <x:f>'Fee engine'!K103</x:f>
        <x:v>196.03937460257254</x:v>
      </x:c>
      <x:c r="F56" s="3" t="n">
        <x:f>'Fee engine'!K104</x:f>
        <x:v>669.7770621296299</x:v>
      </x:c>
      <x:c r="G56" s="3"/>
      <x:c r="H56" s="3"/>
      <x:c r="I56" s="3"/>
      <x:c r="J56" s="3"/>
      <x:c r="K56" s="3"/>
      <x:c r="L56" s="3"/>
      <x:c r="M56" s="3"/>
      <x:c r="N56" s="3"/>
      <x:c r="O56" s="3"/>
      <x:c r="P56" s="3"/>
      <x:c r="Q56" s="3"/>
      <x:c r="R56" s="3"/>
      <x:c r="S56" s="3"/>
      <x:c r="T56" s="3"/>
      <x:c r="U56" s="3"/>
      <x:c r="V56" s="3"/>
      <x:c r="W56" s="3"/>
    </x:row>
    <x:row r="57" ht="19" customHeight="1">
      <x:c r="A57" s="2"/>
      <x:c r="B57" s="2"/>
      <x:c r="C57" s="2" t="s">
        <x:v>12</x:v>
      </x:c>
      <x:c r="D57" s="3" t="n">
        <x:f>'Fee engine'!M102</x:f>
        <x:v>658.7541060612962</x:v>
      </x:c>
      <x:c r="E57" s="3" t="n">
        <x:f>'Fee engine'!M103</x:f>
        <x:v>113.00000000000003</x:v>
      </x:c>
      <x:c r="F57" s="3" t="n">
        <x:f>'Fee engine'!M104</x:f>
        <x:v>771.7541060612963</x:v>
      </x:c>
      <x:c r="G57" s="3"/>
      <x:c r="H57" s="3"/>
      <x:c r="I57" s="3"/>
      <x:c r="J57" s="3"/>
      <x:c r="K57" s="3"/>
      <x:c r="L57" s="3"/>
      <x:c r="M57" s="3"/>
      <x:c r="N57" s="3"/>
      <x:c r="O57" s="3"/>
      <x:c r="P57" s="3"/>
      <x:c r="Q57" s="3"/>
      <x:c r="R57" s="3"/>
      <x:c r="S57" s="3"/>
      <x:c r="T57" s="3"/>
      <x:c r="U57" s="3"/>
      <x:c r="V57" s="3"/>
      <x:c r="W57" s="3"/>
    </x:row>
    <x:row r="58" ht="19" customHeight="1">
      <x:c r="A58" s="2"/>
      <x:c r="B58" s="2"/>
      <x:c r="C58" s="2"/>
      <x:c r="D58" s="3"/>
      <x:c r="E58" s="3"/>
      <x:c r="F58" s="3"/>
      <x:c r="G58" s="3"/>
      <x:c r="H58" s="3"/>
      <x:c r="I58" s="3"/>
      <x:c r="J58" s="3"/>
      <x:c r="K58" s="3"/>
      <x:c r="L58" s="3"/>
      <x:c r="M58" s="3"/>
      <x:c r="N58" s="3"/>
      <x:c r="O58" s="3"/>
      <x:c r="P58" s="3"/>
      <x:c r="Q58" s="3"/>
      <x:c r="R58" s="3"/>
      <x:c r="S58" s="3"/>
      <x:c r="T58" s="3"/>
      <x:c r="U58" s="3"/>
      <x:c r="V58" s="3"/>
      <x:c r="W58" s="3"/>
    </x:row>
    <x:row r="59" ht="19" customHeight="1">
      <x:c r="A59" s="2"/>
      <x:c r="B59" s="2"/>
      <x:c r="C59" s="2"/>
      <x:c r="D59" s="3"/>
      <x:c r="E59" s="3"/>
      <x:c r="F59" s="3"/>
      <x:c r="G59" s="3"/>
      <x:c r="H59" s="3"/>
      <x:c r="I59" s="3"/>
      <x:c r="J59" s="3"/>
      <x:c r="K59" s="3"/>
      <x:c r="L59" s="3"/>
      <x:c r="M59" s="3"/>
      <x:c r="N59" s="3"/>
      <x:c r="O59" s="3"/>
      <x:c r="P59" s="3"/>
      <x:c r="Q59" s="3"/>
      <x:c r="R59" s="3"/>
      <x:c r="S59" s="3"/>
      <x:c r="T59" s="3"/>
      <x:c r="U59" s="3"/>
      <x:c r="V59" s="3"/>
      <x:c r="W59" s="3"/>
    </x:row>
    <x:row r="60" ht="19" customHeight="1">
      <x:c r="A60" s="2"/>
      <x:c r="B60" s="2"/>
      <x:c r="C60" s="2"/>
      <x:c r="D60" s="3"/>
      <x:c r="E60" s="3"/>
      <x:c r="F60" s="3"/>
      <x:c r="G60" s="3"/>
      <x:c r="H60" s="3"/>
      <x:c r="I60" s="3"/>
      <x:c r="J60" s="3"/>
      <x:c r="K60" s="3"/>
      <x:c r="L60" s="3"/>
      <x:c r="M60" s="3"/>
      <x:c r="N60" s="3"/>
      <x:c r="O60" s="3"/>
      <x:c r="P60" s="3"/>
      <x:c r="Q60" s="3"/>
      <x:c r="R60" s="3"/>
      <x:c r="S60" s="3"/>
      <x:c r="T60" s="3"/>
      <x:c r="U60" s="3"/>
      <x:c r="V60" s="3"/>
      <x:c r="W60" s="3"/>
    </x:row>
    <x:row r="61" ht="19" customHeight="1">
      <x:c r="A61" s="2"/>
      <x:c r="B61" s="2"/>
      <x:c r="C61" s="2"/>
      <x:c r="D61" s="3"/>
      <x:c r="E61" s="3"/>
      <x:c r="F61" s="3"/>
      <x:c r="G61" s="3"/>
      <x:c r="H61" s="3"/>
      <x:c r="I61" s="3"/>
      <x:c r="J61" s="3"/>
      <x:c r="K61" s="3"/>
      <x:c r="L61" s="3"/>
      <x:c r="M61" s="3"/>
      <x:c r="N61" s="3"/>
      <x:c r="O61" s="3"/>
      <x:c r="P61" s="3"/>
      <x:c r="Q61" s="3"/>
      <x:c r="R61" s="3"/>
      <x:c r="S61" s="3"/>
      <x:c r="T61" s="3"/>
      <x:c r="U61" s="3"/>
      <x:c r="V61" s="3"/>
      <x:c r="W61" s="3"/>
    </x:row>
    <x:row r="62" ht="19" customHeight="1">
      <x:c r="A62" s="2"/>
      <x:c r="B62" s="2"/>
      <x:c r="C62" s="2"/>
      <x:c r="D62" s="3"/>
      <x:c r="E62" s="3"/>
      <x:c r="F62" s="3"/>
      <x:c r="G62" s="3"/>
      <x:c r="H62" s="3"/>
      <x:c r="I62" s="3"/>
      <x:c r="J62" s="3"/>
      <x:c r="K62" s="3"/>
      <x:c r="L62" s="3"/>
      <x:c r="M62" s="3"/>
      <x:c r="N62" s="3"/>
      <x:c r="O62" s="3"/>
      <x:c r="P62" s="3"/>
      <x:c r="Q62" s="3"/>
      <x:c r="R62" s="3"/>
      <x:c r="S62" s="3"/>
      <x:c r="T62" s="3"/>
      <x:c r="U62" s="3"/>
      <x:c r="V62" s="3"/>
      <x:c r="W62" s="3"/>
    </x:row>
    <x:row r="63" ht="19" customHeight="1">
      <x:c r="A63" s="2"/>
      <x:c r="B63" s="2"/>
      <x:c r="C63" s="2"/>
      <x:c r="D63" s="3"/>
      <x:c r="E63" s="3"/>
      <x:c r="F63" s="3"/>
      <x:c r="G63" s="3"/>
      <x:c r="H63" s="3"/>
      <x:c r="I63" s="3"/>
      <x:c r="J63" s="3"/>
      <x:c r="K63" s="3"/>
      <x:c r="L63" s="3"/>
      <x:c r="M63" s="3"/>
      <x:c r="N63" s="3"/>
      <x:c r="O63" s="3"/>
      <x:c r="P63" s="3"/>
      <x:c r="Q63" s="3"/>
      <x:c r="R63" s="3"/>
      <x:c r="S63" s="3"/>
      <x:c r="T63" s="3"/>
      <x:c r="U63" s="3"/>
      <x:c r="V63" s="3"/>
      <x:c r="W63" s="3"/>
    </x:row>
    <x:row r="64" ht="19" customHeight="1">
      <x:c r="A64" s="2"/>
      <x:c r="B64" s="2"/>
      <x:c r="C64" s="2"/>
      <x:c r="D64" s="3"/>
      <x:c r="E64" s="3"/>
      <x:c r="F64" s="3"/>
      <x:c r="G64" s="3"/>
      <x:c r="H64" s="3"/>
      <x:c r="I64" s="3"/>
      <x:c r="J64" s="3"/>
      <x:c r="K64" s="3"/>
      <x:c r="L64" s="3"/>
      <x:c r="M64" s="3"/>
      <x:c r="N64" s="3"/>
      <x:c r="O64" s="3"/>
      <x:c r="P64" s="3"/>
      <x:c r="Q64" s="3"/>
      <x:c r="R64" s="3"/>
      <x:c r="S64" s="3"/>
      <x:c r="T64" s="3"/>
      <x:c r="U64" s="3"/>
      <x:c r="V64" s="3"/>
      <x:c r="W64" s="3"/>
    </x:row>
    <x:row r="65" ht="19" customHeight="1">
      <x:c r="A65" s="2"/>
      <x:c r="B65" s="2"/>
      <x:c r="C65" s="2"/>
      <x:c r="D65" s="3"/>
      <x:c r="E65" s="3"/>
      <x:c r="F65" s="3"/>
      <x:c r="G65" s="3"/>
      <x:c r="H65" s="3"/>
      <x:c r="I65" s="3"/>
      <x:c r="J65" s="3"/>
      <x:c r="K65" s="3"/>
      <x:c r="L65" s="3"/>
      <x:c r="M65" s="3"/>
      <x:c r="N65" s="3"/>
      <x:c r="O65" s="3"/>
      <x:c r="P65" s="3"/>
      <x:c r="Q65" s="3"/>
      <x:c r="R65" s="3"/>
      <x:c r="S65" s="3"/>
      <x:c r="T65" s="3"/>
      <x:c r="U65" s="3"/>
      <x:c r="V65" s="3"/>
      <x:c r="W65" s="3"/>
    </x:row>
    <x:row r="66" ht="19" customHeight="1">
      <x:c r="A66" s="2"/>
      <x:c r="B66" s="2"/>
      <x:c r="C66" s="2"/>
      <x:c r="D66" s="3"/>
      <x:c r="E66" s="3"/>
      <x:c r="F66" s="3"/>
      <x:c r="G66" s="3"/>
      <x:c r="H66" s="3"/>
      <x:c r="I66" s="3"/>
      <x:c r="J66" s="3"/>
      <x:c r="K66" s="3"/>
      <x:c r="L66" s="3"/>
      <x:c r="M66" s="3"/>
      <x:c r="N66" s="3"/>
      <x:c r="O66" s="3"/>
      <x:c r="P66" s="3"/>
      <x:c r="Q66" s="3"/>
      <x:c r="R66" s="3"/>
      <x:c r="S66" s="3"/>
      <x:c r="T66" s="3"/>
      <x:c r="U66" s="3"/>
      <x:c r="V66" s="3"/>
      <x:c r="W66" s="3"/>
    </x:row>
    <x:row r="67" ht="19" customHeight="1">
      <x:c r="A67" s="2"/>
      <x:c r="B67" s="2"/>
      <x:c r="C67" s="2"/>
      <x:c r="D67" s="3"/>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2"/>
      <x:c r="D69" s="3"/>
      <x:c r="E69" s="3"/>
      <x:c r="F69" s="3"/>
      <x:c r="G69" s="3"/>
      <x:c r="H69" s="3"/>
      <x:c r="I69" s="3"/>
      <x:c r="J69" s="3"/>
      <x:c r="K69" s="3"/>
      <x:c r="L69" s="3"/>
      <x:c r="M69" s="3"/>
      <x:c r="N69" s="3"/>
      <x:c r="O69" s="3"/>
      <x:c r="P69" s="3"/>
      <x:c r="Q69" s="3"/>
      <x:c r="R69" s="3"/>
      <x:c r="S69" s="3"/>
      <x:c r="T69" s="3"/>
      <x:c r="U69" s="3"/>
      <x:c r="V69" s="3"/>
      <x:c r="W69" s="3"/>
    </x:row>
    <x:row r="70" ht="19" customHeight="1">
      <x:c r="A70" s="2"/>
      <x:c r="B70" s="2"/>
      <x:c r="C70" s="2"/>
      <x:c r="D70" s="3"/>
      <x:c r="E70" s="3"/>
      <x:c r="F70" s="3"/>
      <x:c r="G70" s="3"/>
      <x:c r="H70" s="3"/>
      <x:c r="I70" s="3"/>
      <x:c r="J70" s="3"/>
      <x:c r="K70" s="3"/>
      <x:c r="L70" s="3"/>
      <x:c r="M70" s="3"/>
      <x:c r="N70" s="3"/>
      <x:c r="O70" s="3"/>
      <x:c r="P70" s="3"/>
      <x:c r="Q70" s="3"/>
      <x:c r="R70" s="3"/>
      <x:c r="S70" s="3"/>
      <x:c r="T70" s="3"/>
      <x:c r="U70" s="3"/>
      <x:c r="V70" s="3"/>
      <x:c r="W70" s="3"/>
    </x:row>
    <x:row r="71" ht="19" customHeight="1">
      <x:c r="A71" s="2"/>
      <x:c r="B71" s="2"/>
      <x:c r="C71" s="2"/>
      <x:c r="D71" s="3"/>
      <x:c r="E71" s="3"/>
      <x:c r="F71" s="3"/>
      <x:c r="G71" s="3"/>
      <x:c r="H71" s="3"/>
      <x:c r="I71" s="3"/>
      <x:c r="J71" s="3"/>
      <x:c r="K71" s="3"/>
      <x:c r="L71" s="3"/>
      <x:c r="M71" s="3"/>
      <x:c r="N71" s="3"/>
      <x:c r="O71" s="3"/>
      <x:c r="P71" s="3"/>
      <x:c r="Q71" s="3"/>
      <x:c r="R71" s="3"/>
      <x:c r="S71" s="3"/>
      <x:c r="T71" s="3"/>
      <x:c r="U71" s="3"/>
      <x:c r="V71" s="3"/>
      <x:c r="W71" s="3"/>
    </x:row>
    <x:row r="72" ht="19" customHeight="1">
      <x:c r="A72" s="2"/>
      <x:c r="B72" s="2"/>
      <x:c r="C72" s="2"/>
      <x:c r="D72" s="3"/>
      <x:c r="E72" s="3"/>
      <x:c r="F72" s="3"/>
      <x:c r="G72" s="3"/>
      <x:c r="H72" s="3"/>
      <x:c r="I72" s="3"/>
      <x:c r="J72" s="3"/>
      <x:c r="K72" s="3"/>
      <x:c r="L72" s="3"/>
      <x:c r="M72" s="3"/>
      <x:c r="N72" s="3"/>
      <x:c r="O72" s="3"/>
      <x:c r="P72" s="3"/>
      <x:c r="Q72" s="3"/>
      <x:c r="R72" s="3"/>
      <x:c r="S72" s="3"/>
      <x:c r="T72" s="3"/>
      <x:c r="U72" s="3"/>
      <x:c r="V72" s="3"/>
      <x:c r="W72" s="3"/>
    </x:row>
    <x:row r="73" ht="19" customHeight="1">
      <x:c r="A73" s="2"/>
      <x:c r="B73" s="2"/>
      <x:c r="C73" s="2"/>
      <x:c r="D73" s="3"/>
      <x:c r="E73" s="3"/>
      <x:c r="F73" s="3"/>
      <x:c r="G73" s="3"/>
      <x:c r="H73" s="3"/>
      <x:c r="I73" s="3"/>
      <x:c r="J73" s="3"/>
      <x:c r="K73" s="3"/>
      <x:c r="L73" s="3"/>
      <x:c r="M73" s="3"/>
      <x:c r="N73" s="3"/>
      <x:c r="O73" s="3"/>
      <x:c r="P73" s="3"/>
      <x:c r="Q73" s="3"/>
      <x:c r="R73" s="3"/>
      <x:c r="S73" s="3"/>
      <x:c r="T73" s="3"/>
      <x:c r="U73" s="3"/>
      <x:c r="V73" s="3"/>
      <x:c r="W73" s="3"/>
    </x:row>
    <x:row r="74" ht="19" customHeight="1">
      <x:c r="A74" s="2"/>
      <x:c r="B74" s="2"/>
      <x:c r="C74" s="2"/>
      <x:c r="D74" s="3"/>
      <x:c r="E74" s="3"/>
      <x:c r="F74" s="3"/>
      <x:c r="G74" s="3"/>
      <x:c r="H74" s="3"/>
      <x:c r="I74" s="3"/>
      <x:c r="J74" s="3"/>
      <x:c r="K74" s="3"/>
      <x:c r="L74" s="3"/>
      <x:c r="M74" s="3"/>
      <x:c r="N74" s="3"/>
      <x:c r="O74" s="3"/>
      <x:c r="P74" s="3"/>
      <x:c r="Q74" s="3"/>
      <x:c r="R74" s="3"/>
      <x:c r="S74" s="3"/>
      <x:c r="T74" s="3"/>
      <x:c r="U74" s="3"/>
      <x:c r="V74" s="3"/>
      <x:c r="W74" s="3"/>
    </x:row>
    <x:row r="75" ht="19" customHeight="1">
      <x:c r="A75" s="2"/>
      <x:c r="B75" s="2"/>
      <x:c r="C75" s="2"/>
      <x:c r="D75" s="3"/>
      <x:c r="E75" s="3"/>
      <x:c r="F75" s="3"/>
      <x:c r="G75" s="3"/>
      <x:c r="H75" s="3"/>
      <x:c r="I75" s="3"/>
      <x:c r="J75" s="3"/>
      <x:c r="K75" s="3"/>
      <x:c r="L75" s="3"/>
      <x:c r="M75" s="3"/>
      <x:c r="N75" s="3"/>
      <x:c r="O75" s="3"/>
      <x:c r="P75" s="3"/>
      <x:c r="Q75" s="3"/>
      <x:c r="R75" s="3"/>
      <x:c r="S75" s="3"/>
      <x:c r="T75" s="3"/>
      <x:c r="U75" s="3"/>
      <x:c r="V75" s="3"/>
      <x:c r="W75" s="3"/>
    </x:row>
    <x:row r="76" ht="19" customHeight="1">
      <x:c r="A76" s="2"/>
      <x:c r="B76" s="2"/>
      <x:c r="C76" s="2"/>
      <x:c r="D76" s="3"/>
      <x:c r="E76" s="3"/>
      <x:c r="F76" s="3"/>
      <x:c r="G76" s="3"/>
      <x:c r="H76" s="3"/>
      <x:c r="I76" s="3"/>
      <x:c r="J76" s="3"/>
      <x:c r="K76" s="3"/>
      <x:c r="L76" s="3"/>
      <x:c r="M76" s="3"/>
      <x:c r="N76" s="3"/>
      <x:c r="O76" s="3"/>
      <x:c r="P76" s="3"/>
      <x:c r="Q76" s="3"/>
      <x:c r="R76" s="3"/>
      <x:c r="S76" s="3"/>
      <x:c r="T76" s="3"/>
      <x:c r="U76" s="3"/>
      <x:c r="V76" s="3"/>
      <x:c r="W76" s="3"/>
    </x:row>
    <x:row r="77" ht="19" customHeight="1">
      <x:c r="A77" s="2"/>
      <x:c r="B77" s="2"/>
      <x:c r="C77" s="2"/>
      <x:c r="D77" s="3"/>
      <x:c r="E77" s="3"/>
      <x:c r="F77" s="3"/>
      <x:c r="G77" s="3"/>
      <x:c r="H77" s="3"/>
      <x:c r="I77" s="3"/>
      <x:c r="J77" s="3"/>
      <x:c r="K77" s="3"/>
      <x:c r="L77" s="3"/>
      <x:c r="M77" s="3"/>
      <x:c r="N77" s="3"/>
      <x:c r="O77" s="3"/>
      <x:c r="P77" s="3"/>
      <x:c r="Q77" s="3"/>
      <x:c r="R77" s="3"/>
      <x:c r="S77" s="3"/>
      <x:c r="T77" s="3"/>
      <x:c r="U77" s="3"/>
      <x:c r="V77" s="3"/>
      <x:c r="W77" s="3"/>
    </x:row>
    <x:row r="78" ht="19" customHeight="1">
      <x:c r="A78" s="2"/>
      <x:c r="B78" s="2"/>
      <x:c r="C78" s="2"/>
      <x:c r="D78" s="3"/>
      <x:c r="E78" s="3"/>
      <x:c r="F78" s="3"/>
      <x:c r="G78" s="3"/>
      <x:c r="H78" s="3"/>
      <x:c r="I78" s="3"/>
      <x:c r="J78" s="3"/>
      <x:c r="K78" s="3"/>
      <x:c r="L78" s="3"/>
      <x:c r="M78" s="3"/>
      <x:c r="N78" s="3"/>
      <x:c r="O78" s="3"/>
      <x:c r="P78" s="3"/>
      <x:c r="Q78" s="3"/>
      <x:c r="R78" s="3"/>
      <x:c r="S78" s="3"/>
      <x:c r="T78" s="3"/>
      <x:c r="U78" s="3"/>
      <x:c r="V78" s="3"/>
      <x:c r="W78" s="3"/>
    </x:row>
    <x:row r="79" ht="19" customHeight="1">
      <x:c r="A79" s="2"/>
      <x:c r="B79" s="2"/>
      <x:c r="C79" s="2"/>
      <x:c r="D79" s="3"/>
      <x:c r="E79" s="3"/>
      <x:c r="F79" s="3"/>
      <x:c r="G79" s="3"/>
      <x:c r="H79" s="3"/>
      <x:c r="I79" s="3"/>
      <x:c r="J79" s="3"/>
      <x:c r="K79" s="3"/>
      <x:c r="L79" s="3"/>
      <x:c r="M79" s="3"/>
      <x:c r="N79" s="3"/>
      <x:c r="O79" s="3"/>
      <x:c r="P79" s="3"/>
      <x:c r="Q79" s="3"/>
      <x:c r="R79" s="3"/>
      <x:c r="S79" s="3"/>
      <x:c r="T79" s="3"/>
      <x:c r="U79" s="3"/>
      <x:c r="V79" s="3"/>
      <x:c r="W79" s="3"/>
    </x:row>
    <x:row r="80" ht="19" customHeight="1">
      <x:c r="A80" s="2"/>
      <x:c r="B80" s="2"/>
      <x:c r="C80" s="2"/>
      <x:c r="D80" s="3"/>
      <x:c r="E80" s="3"/>
      <x:c r="F80" s="3"/>
      <x:c r="G80" s="3"/>
      <x:c r="H80" s="3"/>
      <x:c r="I80" s="3"/>
      <x:c r="J80" s="3"/>
      <x:c r="K80" s="3"/>
      <x:c r="L80" s="3"/>
      <x:c r="M80" s="3"/>
      <x:c r="N80" s="3"/>
      <x:c r="O80" s="3"/>
      <x:c r="P80" s="3"/>
      <x:c r="Q80" s="3"/>
      <x:c r="R80" s="3"/>
      <x:c r="S80" s="3"/>
      <x:c r="T80" s="3"/>
      <x:c r="U80" s="3"/>
      <x:c r="V80" s="3"/>
      <x:c r="W80" s="3"/>
    </x:row>
    <x:row r="81" ht="19" customHeight="1">
      <x:c r="A81" s="2"/>
      <x:c r="B81" s="2"/>
      <x:c r="C81" s="2"/>
      <x:c r="D81" s="3"/>
      <x:c r="E81" s="3"/>
      <x:c r="F81" s="3"/>
      <x:c r="G81" s="3"/>
      <x:c r="H81" s="3"/>
      <x:c r="I81" s="3"/>
      <x:c r="J81" s="3"/>
      <x:c r="K81" s="3"/>
      <x:c r="L81" s="3"/>
      <x:c r="M81" s="3"/>
      <x:c r="N81" s="3"/>
      <x:c r="O81" s="3"/>
      <x:c r="P81" s="3"/>
      <x:c r="Q81" s="3"/>
      <x:c r="R81" s="3"/>
      <x:c r="S81" s="3"/>
      <x:c r="T81" s="3"/>
      <x:c r="U81" s="3"/>
      <x:c r="V81" s="3"/>
      <x:c r="W81" s="3"/>
    </x:row>
    <x:row r="82" ht="19" customHeight="1">
      <x:c r="A82" s="2"/>
      <x:c r="B82" s="2"/>
      <x:c r="C82" s="2"/>
      <x:c r="D82" s="3"/>
      <x:c r="E82" s="3"/>
      <x:c r="F82" s="3"/>
      <x:c r="G82" s="3"/>
      <x:c r="H82" s="3"/>
      <x:c r="I82" s="3"/>
      <x:c r="J82" s="3"/>
      <x:c r="K82" s="3"/>
      <x:c r="L82" s="3"/>
      <x:c r="M82" s="3"/>
      <x:c r="N82" s="3"/>
      <x:c r="O82" s="3"/>
      <x:c r="P82" s="3"/>
      <x:c r="Q82" s="3"/>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2"/>
      <x:c r="D85" s="3"/>
      <x:c r="E85" s="3"/>
      <x:c r="F85" s="3"/>
      <x:c r="G85" s="3"/>
      <x:c r="H85" s="3"/>
      <x:c r="I85" s="3"/>
      <x:c r="J85" s="3"/>
      <x:c r="K85" s="3"/>
      <x:c r="L85" s="3"/>
      <x:c r="M85" s="3"/>
      <x:c r="N85" s="3"/>
      <x:c r="O85" s="3"/>
      <x:c r="P85" s="3"/>
      <x:c r="Q85" s="3"/>
      <x:c r="R85" s="3"/>
      <x:c r="S85" s="3"/>
      <x:c r="T85" s="3"/>
      <x:c r="U85" s="3"/>
      <x:c r="V85" s="3"/>
      <x:c r="W85" s="3"/>
    </x:row>
    <x:row r="86" ht="19" customHeight="1">
      <x:c r="A86" s="2"/>
      <x:c r="B86" s="2"/>
      <x:c r="C86" s="2"/>
      <x:c r="D86" s="3"/>
      <x:c r="E86" s="3"/>
      <x:c r="F86" s="3"/>
      <x:c r="G86" s="3"/>
      <x:c r="H86" s="3"/>
      <x:c r="I86" s="3"/>
      <x:c r="J86" s="3"/>
      <x:c r="K86" s="3"/>
      <x:c r="L86" s="3"/>
      <x:c r="M86" s="3"/>
      <x:c r="N86" s="3"/>
      <x:c r="O86" s="3"/>
      <x:c r="P86" s="3"/>
      <x:c r="Q86" s="3"/>
      <x:c r="R86" s="3"/>
      <x:c r="S86" s="3"/>
      <x:c r="T86" s="3"/>
      <x:c r="U86" s="3"/>
      <x:c r="V86" s="3"/>
      <x:c r="W86" s="3"/>
    </x:row>
    <x:row r="87" ht="19" customHeight="1">
      <x:c r="A87" s="2"/>
      <x:c r="B87" s="2"/>
      <x:c r="C87" s="2"/>
      <x:c r="D87" s="3"/>
      <x:c r="E87" s="3"/>
      <x:c r="F87" s="3"/>
      <x:c r="G87" s="3"/>
      <x:c r="H87" s="3"/>
      <x:c r="I87" s="3"/>
      <x:c r="J87" s="3"/>
      <x:c r="K87" s="3"/>
      <x:c r="L87" s="3"/>
      <x:c r="M87" s="3"/>
      <x:c r="N87" s="3"/>
      <x:c r="O87" s="3"/>
      <x:c r="P87" s="3"/>
      <x:c r="Q87" s="3"/>
      <x:c r="R87" s="3"/>
      <x:c r="S87" s="3"/>
      <x:c r="T87" s="3"/>
      <x:c r="U87" s="3"/>
      <x:c r="V87" s="3"/>
      <x:c r="W87" s="3"/>
    </x:row>
    <x:row r="88" ht="19" customHeight="1">
      <x:c r="A88" s="2"/>
      <x:c r="B88" s="2"/>
      <x:c r="C88" s="2"/>
      <x:c r="D88" s="3"/>
      <x:c r="E88" s="3"/>
      <x:c r="F88" s="3"/>
      <x:c r="G88" s="3"/>
      <x:c r="H88" s="3"/>
      <x:c r="I88" s="3"/>
      <x:c r="J88" s="3"/>
      <x:c r="K88" s="3"/>
      <x:c r="L88" s="3"/>
      <x:c r="M88" s="3"/>
      <x:c r="N88" s="3"/>
      <x:c r="O88" s="3"/>
      <x:c r="P88" s="3"/>
      <x:c r="Q88" s="3"/>
      <x:c r="R88" s="3"/>
      <x:c r="S88" s="3"/>
      <x:c r="T88" s="3"/>
      <x:c r="U88" s="3"/>
      <x:c r="V88" s="3"/>
      <x:c r="W88" s="3"/>
    </x:row>
    <x:row r="89" ht="19" customHeight="1">
      <x:c r="A89" s="2"/>
      <x:c r="B89" s="2"/>
      <x:c r="C89" s="2"/>
      <x:c r="D89" s="3"/>
      <x:c r="E89" s="3"/>
      <x:c r="F89" s="3"/>
      <x:c r="G89" s="3"/>
      <x:c r="H89" s="3"/>
      <x:c r="I89" s="3"/>
      <x:c r="J89" s="3"/>
      <x:c r="K89" s="3"/>
      <x:c r="L89" s="3"/>
      <x:c r="M89" s="3"/>
      <x:c r="N89" s="3"/>
      <x:c r="O89" s="3"/>
      <x:c r="P89" s="3"/>
      <x:c r="Q89" s="3"/>
      <x:c r="R89" s="3"/>
      <x:c r="S89" s="3"/>
      <x:c r="T89" s="3"/>
      <x:c r="U89" s="3"/>
      <x:c r="V89" s="3"/>
      <x:c r="W89" s="3"/>
    </x:row>
    <x:row r="90" ht="19" customHeight="1">
      <x:c r="A90" s="2"/>
      <x:c r="B90" s="2"/>
      <x:c r="C90" s="2"/>
      <x:c r="D90" s="3"/>
      <x:c r="E90" s="3"/>
      <x:c r="F90" s="3"/>
      <x:c r="G90" s="3"/>
      <x:c r="H90" s="3"/>
      <x:c r="I90" s="3"/>
      <x:c r="J90" s="3"/>
      <x:c r="K90" s="3"/>
      <x:c r="L90" s="3"/>
      <x:c r="M90" s="3"/>
      <x:c r="N90" s="3"/>
      <x:c r="O90" s="3"/>
      <x:c r="P90" s="3"/>
      <x:c r="Q90" s="3"/>
      <x:c r="R90" s="3"/>
      <x:c r="S90" s="3"/>
      <x:c r="T90" s="3"/>
      <x:c r="U90" s="3"/>
      <x:c r="V90" s="3"/>
      <x:c r="W90" s="3"/>
    </x:row>
    <x:row r="91" ht="19" customHeight="1">
      <x:c r="A91" s="2"/>
      <x:c r="B91" s="2"/>
      <x:c r="C91" s="2"/>
      <x:c r="D91" s="3"/>
      <x:c r="E91" s="3"/>
      <x:c r="F91" s="3"/>
      <x:c r="G91" s="3"/>
      <x:c r="H91" s="3"/>
      <x:c r="I91" s="3"/>
      <x:c r="J91" s="3"/>
      <x:c r="K91" s="3"/>
      <x:c r="L91" s="3"/>
      <x:c r="M91" s="3"/>
      <x:c r="N91" s="3"/>
      <x:c r="O91" s="3"/>
      <x:c r="P91" s="3"/>
      <x:c r="Q91" s="3"/>
      <x:c r="R91" s="3"/>
      <x:c r="S91" s="3"/>
      <x:c r="T91" s="3"/>
      <x:c r="U91" s="3"/>
      <x:c r="V91" s="3"/>
      <x:c r="W91" s="3"/>
    </x:row>
    <x:row r="92" ht="19" customHeight="1">
      <x:c r="A92" s="2"/>
      <x:c r="B92" s="2"/>
      <x:c r="C92" s="2"/>
      <x:c r="D92" s="3"/>
      <x:c r="E92" s="3"/>
      <x:c r="F92" s="3"/>
      <x:c r="G92" s="3"/>
      <x:c r="H92" s="3"/>
      <x:c r="I92" s="3"/>
      <x:c r="J92" s="3"/>
      <x:c r="K92" s="3"/>
      <x:c r="L92" s="3"/>
      <x:c r="M92" s="3"/>
      <x:c r="N92" s="3"/>
      <x:c r="O92" s="3"/>
      <x:c r="P92" s="3"/>
      <x:c r="Q92" s="3"/>
      <x:c r="R92" s="3"/>
      <x:c r="S92" s="3"/>
      <x:c r="T92" s="3"/>
      <x:c r="U92" s="3"/>
      <x:c r="V92" s="3"/>
      <x:c r="W92" s="3"/>
    </x:row>
    <x:row r="93" ht="19" customHeight="1">
      <x:c r="A93" s="2"/>
      <x:c r="B93" s="2"/>
      <x:c r="C93" s="2"/>
      <x:c r="D93" s="3"/>
      <x:c r="E93" s="3"/>
      <x:c r="F93" s="3"/>
      <x:c r="G93" s="3"/>
      <x:c r="H93" s="3"/>
      <x:c r="I93" s="3"/>
      <x:c r="J93" s="3"/>
      <x:c r="K93" s="3"/>
      <x:c r="L93" s="3"/>
      <x:c r="M93" s="3"/>
      <x:c r="N93" s="3"/>
      <x:c r="O93" s="3"/>
      <x:c r="P93" s="3"/>
      <x:c r="Q93" s="3"/>
      <x:c r="R93" s="3"/>
      <x:c r="S93" s="3"/>
      <x:c r="T93" s="3"/>
      <x:c r="U93" s="3"/>
      <x:c r="V93" s="3"/>
      <x:c r="W93" s="3"/>
    </x:row>
    <x:row r="94" ht="19" customHeight="1">
      <x:c r="A94" s="2"/>
      <x:c r="B94" s="2"/>
      <x:c r="C94" s="2"/>
      <x:c r="D94" s="3"/>
      <x:c r="E94" s="3"/>
      <x:c r="F94" s="3"/>
      <x:c r="G94" s="3"/>
      <x:c r="H94" s="3"/>
      <x:c r="I94" s="3"/>
      <x:c r="J94" s="3"/>
      <x:c r="K94" s="3"/>
      <x:c r="L94" s="3"/>
      <x:c r="M94" s="3"/>
      <x:c r="N94" s="3"/>
      <x:c r="O94" s="3"/>
      <x:c r="P94" s="3"/>
      <x:c r="Q94" s="3"/>
      <x:c r="R94" s="3"/>
      <x:c r="S94" s="3"/>
      <x:c r="T94" s="3"/>
      <x:c r="U94" s="3"/>
      <x:c r="V94" s="3"/>
      <x:c r="W94" s="3"/>
    </x:row>
    <x:row r="95" ht="19" customHeight="1">
      <x:c r="A95" s="2"/>
      <x:c r="B95" s="2"/>
      <x:c r="C95" s="2"/>
      <x:c r="D95" s="3"/>
      <x:c r="E95" s="3"/>
      <x:c r="F95" s="3"/>
      <x:c r="G95" s="3"/>
      <x:c r="H95" s="3"/>
      <x:c r="I95" s="3"/>
      <x:c r="J95" s="3"/>
      <x:c r="K95" s="3"/>
      <x:c r="L95" s="3"/>
      <x:c r="M95" s="3"/>
      <x:c r="N95" s="3"/>
      <x:c r="O95" s="3"/>
      <x:c r="P95" s="3"/>
      <x:c r="Q95" s="3"/>
      <x:c r="R95" s="3"/>
      <x:c r="S95" s="3"/>
      <x:c r="T95" s="3"/>
      <x:c r="U95" s="3"/>
      <x:c r="V95" s="3"/>
      <x:c r="W95" s="3"/>
    </x:row>
    <x:row r="96" ht="19" customHeight="1">
      <x:c r="A96" s="2"/>
      <x:c r="B96" s="2"/>
      <x:c r="C96" s="2"/>
      <x:c r="D96" s="3"/>
      <x:c r="E96" s="3"/>
      <x:c r="F96" s="3"/>
      <x:c r="G96" s="3"/>
      <x:c r="H96" s="3"/>
      <x:c r="I96" s="3"/>
      <x:c r="J96" s="3"/>
      <x:c r="K96" s="3"/>
      <x:c r="L96" s="3"/>
      <x:c r="M96" s="3"/>
      <x:c r="N96" s="3"/>
      <x:c r="O96" s="3"/>
      <x:c r="P96" s="3"/>
      <x:c r="Q96" s="3"/>
      <x:c r="R96" s="3"/>
      <x:c r="S96" s="3"/>
      <x:c r="T96" s="3"/>
      <x:c r="U96" s="3"/>
      <x:c r="V96" s="3"/>
      <x:c r="W96" s="3"/>
    </x:row>
    <x:row r="97" ht="19" customHeight="1">
      <x:c r="A97" s="2"/>
      <x:c r="B97" s="2"/>
      <x:c r="C97" s="2"/>
      <x:c r="D97" s="3"/>
      <x:c r="E97" s="3"/>
      <x:c r="F97" s="3"/>
      <x:c r="G97" s="3"/>
      <x:c r="H97" s="3"/>
      <x:c r="I97" s="3"/>
      <x:c r="J97" s="3"/>
      <x:c r="K97" s="3"/>
      <x:c r="L97" s="3"/>
      <x:c r="M97" s="3"/>
      <x:c r="N97" s="3"/>
      <x:c r="O97" s="3"/>
      <x:c r="P97" s="3"/>
      <x:c r="Q97" s="3"/>
      <x:c r="R97" s="3"/>
      <x:c r="S97" s="3"/>
      <x:c r="T97" s="3"/>
      <x:c r="U97" s="3"/>
      <x:c r="V97" s="3"/>
      <x:c r="W97" s="3"/>
    </x:row>
    <x:row r="98" ht="19" customHeight="1">
      <x:c r="A98" s="2"/>
      <x:c r="B98" s="2"/>
      <x:c r="C98" s="2"/>
      <x:c r="D98" s="3"/>
      <x:c r="E98" s="3"/>
      <x:c r="F98" s="3"/>
      <x:c r="G98" s="3"/>
      <x:c r="H98" s="3"/>
      <x:c r="I98" s="3"/>
      <x:c r="J98" s="3"/>
      <x:c r="K98" s="3"/>
      <x:c r="L98" s="3"/>
      <x:c r="M98" s="3"/>
      <x:c r="N98" s="3"/>
      <x:c r="O98" s="3"/>
      <x:c r="P98" s="3"/>
      <x:c r="Q98" s="3"/>
      <x:c r="R98" s="3"/>
      <x:c r="S98" s="3"/>
      <x:c r="T98" s="3"/>
      <x:c r="U98" s="3"/>
      <x:c r="V98" s="3"/>
      <x:c r="W98" s="3"/>
    </x:row>
    <x:row r="99" ht="19" customHeight="1">
      <x:c r="A99" s="2"/>
      <x:c r="B99" s="2"/>
      <x:c r="C99" s="2"/>
      <x:c r="D99" s="3"/>
      <x:c r="E99" s="3"/>
      <x:c r="F99" s="3"/>
      <x:c r="G99" s="3"/>
      <x:c r="H99" s="3"/>
      <x:c r="I99" s="3"/>
      <x:c r="J99" s="3"/>
      <x:c r="K99" s="3"/>
      <x:c r="L99" s="3"/>
      <x:c r="M99" s="3"/>
      <x:c r="N99" s="3"/>
      <x:c r="O99" s="3"/>
      <x:c r="P99" s="3"/>
      <x:c r="Q99" s="3"/>
      <x:c r="R99" s="3"/>
      <x:c r="S99" s="3"/>
      <x:c r="T99" s="3"/>
      <x:c r="U99" s="3"/>
      <x:c r="V99" s="3"/>
      <x:c r="W99" s="3"/>
    </x:row>
    <x:row r="100" ht="19" customHeight="1">
      <x:c r="A100" s="2"/>
      <x:c r="B100" s="2"/>
      <x:c r="C100" s="2"/>
      <x:c r="D100" s="3"/>
      <x:c r="E100" s="3"/>
      <x:c r="F100" s="3"/>
      <x:c r="G100" s="3"/>
      <x:c r="H100" s="3"/>
      <x:c r="I100" s="3"/>
      <x:c r="J100" s="3"/>
      <x:c r="K100" s="3"/>
      <x:c r="L100" s="3"/>
      <x:c r="M100" s="3"/>
      <x:c r="N100" s="3"/>
      <x:c r="O100" s="3"/>
      <x:c r="P100" s="3"/>
      <x:c r="Q100" s="3"/>
      <x:c r="R100" s="3"/>
      <x:c r="S100" s="3"/>
      <x:c r="T100" s="3"/>
      <x:c r="U100" s="3"/>
      <x:c r="V100" s="3"/>
      <x:c r="W100" s="3"/>
    </x:row>
  </x:sheetData>
  <x:pageMargins left="0.7" right="0.7" top="0.75" bottom="0.75" header="0.3" footer="0.3"/>
  <x:drawing xmlns:r="http://schemas.openxmlformats.org/officeDocument/2006/relationships" r:id="R9ba05f282620483e"/>
</x:worksheet>
</file>

<file path=xl/worksheets/sheet2.xml><?xml version="1.0" encoding="utf-8"?>
<x:worksheet xmlns:x="http://schemas.openxmlformats.org/spreadsheetml/2006/main">
  <x:sheetPr>
    <x:tabColor rgb="FFE5B653"/>
  </x:sheetPr>
  <x:sheetViews>
    <x:sheetView showGridLines="0" workbookViewId="0">
      <x:pane xSplit="3" ySplit="7" topLeftCell="D8" activePane="bottomRight" state="frozen"/>
    </x:sheetView>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59</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60</x:v>
      </x:c>
      <x:c r="D4" s="63">
        <x:v>1</x:v>
      </x:c>
      <x:c r="E4" s="7" t="str">
        <x:f>CHOOSE(D4,"Base","Downside","Upside","Zero PF")</x:f>
        <x:v>Base</x:v>
      </x:c>
      <x:c r="F4" s="3"/>
      <x:c r="G4" s="3"/>
      <x:c r="H4" s="3"/>
      <x:c r="I4" s="3"/>
      <x:c r="J4" s="3"/>
      <x:c r="K4" s="3"/>
      <x:c r="L4" s="3"/>
      <x:c r="M4" s="3"/>
      <x:c r="N4" s="3"/>
      <x:c r="O4" s="3"/>
      <x:c r="P4" s="3"/>
      <x:c r="Q4" s="3"/>
      <x:c r="R4" s="3"/>
      <x:c r="S4" s="3"/>
      <x:c r="T4" s="3"/>
      <x:c r="U4" s="3"/>
      <x:c r="V4" s="3"/>
      <x:c r="W4" s="3"/>
    </x:row>
    <x:row r="5" ht="19" customHeight="1">
      <x:c r="A5" s="2"/>
      <x:c r="B5" s="2"/>
      <x:c r="C5" s="2" t="s">
        <x:v>61</x:v>
      </x:c>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19" customHeight="1">
      <x:c r="A7" s="2"/>
      <x:c r="B7" s="2"/>
      <x:c r="C7" s="2"/>
      <x:c r="D7" s="58" t="s">
        <x:v>62</x:v>
      </x:c>
      <x:c r="E7" s="58" t="s">
        <x:v>63</x:v>
      </x:c>
      <x:c r="F7" s="58" t="s">
        <x:v>64</x:v>
      </x:c>
      <x:c r="G7" s="58" t="s">
        <x:v>65</x:v>
      </x:c>
      <x:c r="H7" s="58" t="s">
        <x:v>66</x:v>
      </x:c>
      <x:c r="I7" s="58" t="s">
        <x:v>67</x:v>
      </x:c>
      <x:c r="J7" s="58" t="s">
        <x:v>68</x:v>
      </x:c>
      <x:c r="K7" s="58" t="s">
        <x:v>69</x:v>
      </x:c>
      <x:c r="L7" s="58" t="s">
        <x:v>70</x:v>
      </x:c>
      <x:c r="M7" s="58" t="s">
        <x:v>71</x:v>
      </x:c>
      <x:c r="N7" s="58" t="s">
        <x:v>72</x:v>
      </x:c>
      <x:c r="O7" s="58" t="s">
        <x:v>73</x:v>
      </x:c>
      <x:c r="P7" s="58" t="s">
        <x:v>74</x:v>
      </x:c>
      <x:c r="Q7" s="58" t="s">
        <x:v>75</x:v>
      </x:c>
      <x:c r="R7" s="58" t="s">
        <x:v>76</x:v>
      </x:c>
      <x:c r="S7" s="58" t="s">
        <x:v>77</x:v>
      </x:c>
      <x:c r="T7" s="58" t="s">
        <x:v>78</x:v>
      </x:c>
      <x:c r="U7" s="58" t="s">
        <x:v>79</x:v>
      </x:c>
      <x:c r="V7" s="58" t="s">
        <x:v>80</x:v>
      </x:c>
      <x:c r="W7" s="58" t="s">
        <x:v>81</x:v>
      </x:c>
    </x:row>
    <x:row r="8" ht="19" customHeight="1">
      <x:c r="A8" s="2"/>
      <x:c r="B8" s="2"/>
      <x:c r="C8" s="2"/>
      <x:c r="D8" s="3"/>
      <x:c r="E8" s="3"/>
      <x:c r="F8" s="3"/>
      <x:c r="G8" s="3"/>
      <x:c r="H8" s="3"/>
      <x:c r="I8" s="3"/>
      <x:c r="J8" s="3"/>
      <x:c r="K8" s="3"/>
      <x:c r="L8" s="3"/>
      <x:c r="M8" s="3"/>
      <x:c r="N8" s="3"/>
      <x:c r="O8" s="3"/>
      <x:c r="P8" s="3"/>
      <x:c r="Q8" s="3"/>
      <x:c r="R8" s="3"/>
      <x:c r="S8" s="3"/>
      <x:c r="T8" s="3"/>
      <x:c r="U8" s="3"/>
      <x:c r="V8" s="3"/>
      <x:c r="W8" s="3"/>
    </x:row>
    <x:row r="9" ht="19" customHeight="1">
      <x:c r="A9" s="2"/>
      <x:c r="B9" s="2"/>
      <x:c r="C9" s="2"/>
      <x:c r="D9" s="3"/>
      <x:c r="E9" s="3"/>
      <x:c r="F9" s="3"/>
      <x:c r="G9" s="3"/>
      <x:c r="H9" s="3"/>
      <x:c r="I9" s="3"/>
      <x:c r="J9" s="3"/>
      <x:c r="K9" s="3"/>
      <x:c r="L9" s="3"/>
      <x:c r="M9" s="3"/>
      <x:c r="N9" s="3"/>
      <x:c r="O9" s="3"/>
      <x:c r="P9" s="3"/>
      <x:c r="Q9" s="3"/>
      <x:c r="R9" s="3"/>
      <x:c r="S9" s="3"/>
      <x:c r="T9" s="3"/>
      <x:c r="U9" s="3"/>
      <x:c r="V9" s="3"/>
      <x:c r="W9" s="3"/>
    </x:row>
    <x:row r="10" ht="19" customHeight="1">
      <x:c r="A10" s="2"/>
      <x:c r="B10" s="2"/>
      <x:c r="C10" s="11" t="s">
        <x:v>82</x:v>
      </x:c>
      <x:c r="D10" s="12"/>
      <x:c r="E10" s="12"/>
      <x:c r="F10" s="12"/>
      <x:c r="G10" s="12"/>
      <x:c r="H10" s="12"/>
      <x:c r="I10" s="12"/>
      <x:c r="J10" s="12"/>
      <x:c r="K10" s="12"/>
      <x:c r="L10" s="12"/>
      <x:c r="M10" s="12"/>
      <x:c r="N10" s="12"/>
      <x:c r="O10" s="12"/>
      <x:c r="P10" s="12"/>
      <x:c r="Q10" s="12"/>
      <x:c r="R10" s="12"/>
      <x:c r="S10" s="12"/>
      <x:c r="T10" s="12"/>
      <x:c r="U10" s="12"/>
      <x:c r="V10" s="12"/>
      <x:c r="W10" s="12"/>
    </x:row>
    <x:row r="11" ht="19" customHeight="1">
      <x:c r="A11" s="2"/>
      <x:c r="B11" s="2"/>
      <x:c r="C11" s="21" t="s">
        <x:v>83</x:v>
      </x:c>
      <x:c r="D11" s="22" t="n">
        <x:f>'Fee engine'!D19</x:f>
        <x:v>0.007676203768318213</x:v>
      </x:c>
      <x:c r="E11" s="22" t="n">
        <x:f>'Fee engine'!E19</x:f>
        <x:v>0.010366275051831375</x:v>
      </x:c>
      <x:c r="F11" s="22" t="n">
        <x:f>'Fee engine'!F19</x:f>
        <x:v>0.004614370468029005</x:v>
      </x:c>
      <x:c r="G11" s="22" t="n">
        <x:f>'Fee engine'!G19</x:f>
        <x:v>-0.0018610421836228288</x:v>
      </x:c>
      <x:c r="H11" s="22" t="n">
        <x:f>'Fee engine'!H19</x:f>
        <x:v>-0.009552238805970151</x:v>
      </x:c>
      <x:c r="I11" s="22" t="n">
        <x:f>'Fee engine'!I19</x:f>
        <x:v>0.014228799089356859</x:v>
      </x:c>
      <x:c r="J11" s="22" t="n">
        <x:f>'Fee engine'!J19</x:f>
        <x:v>-0.030864197530864196</x:v>
      </x:c>
      <x:c r="K11" s="22" t="n">
        <x:f>'Fee engine'!K19</x:f>
        <x:v>0.007432818753573471</x:v>
      </x:c>
      <x:c r="L11" s="22" t="n">
        <x:f>'Fee engine'!L19</x:f>
        <x:v>0.021352313167259784</x:v>
      </x:c>
      <x:c r="M11" s="22" t="n">
        <x:f>'Fee engine'!M19</x:f>
        <x:v>0.08111239860950173</x:v>
      </x:c>
      <x:c r="N11" s="22" t="n">
        <x:f>'Fee engine'!N19</x:f>
        <x:v>0.05018106570098292</x:v>
      </x:c>
      <x:c r="O11" s="22" t="n">
        <x:f>'Fee engine'!O19</x:f>
        <x:v>0.006545114539504441</x:v>
      </x:c>
      <x:c r="P11" s="22" t="n">
        <x:f>'Fee engine'!P19</x:f>
        <x:v>-0.0070298769771529</x:v>
      </x:c>
      <x:c r="Q11" s="22" t="n">
        <x:f>'Fee engine'!Q19</x:f>
        <x:v>0.03804110188019239</x:v>
      </x:c>
      <x:c r="R11" s="23" t="n">
        <x:f t="shared" ref="R11:W11" si="0">IF(CHOOSE($D$4,ISBLANK(R12),ISBLANK(R13),ISBLANK(R14),ISBLANK(R15)),NA(),CHOOSE($D$4,R12,R13,R14,R15))</x:f>
        <x:v>0.01</x:v>
      </x:c>
      <x:c r="S11" s="23">
        <x:f t="shared" si="0"/>
        <x:v>0.01</x:v>
      </x:c>
      <x:c r="T11" s="23">
        <x:f t="shared" si="0"/>
        <x:v>0.01</x:v>
      </x:c>
      <x:c r="U11" s="23">
        <x:f t="shared" si="0"/>
        <x:v>0.01</x:v>
      </x:c>
      <x:c r="V11" s="23">
        <x:f t="shared" si="0"/>
        <x:v>0.01</x:v>
      </x:c>
      <x:c r="W11" s="23">
        <x:f t="shared" si="0"/>
        <x:v>0.01</x:v>
      </x:c>
    </x:row>
    <x:row r="12" ht="19" customHeight="1">
      <x:c r="A12" s="2"/>
      <x:c r="B12" s="2"/>
      <x:c r="C12" s="2" t="s">
        <x:v>84</x:v>
      </x:c>
      <x:c r="D12" s="19"/>
      <x:c r="E12" s="19"/>
      <x:c r="F12" s="19"/>
      <x:c r="G12" s="19"/>
      <x:c r="H12" s="19"/>
      <x:c r="I12" s="19"/>
      <x:c r="J12" s="19"/>
      <x:c r="K12" s="19"/>
      <x:c r="L12" s="19"/>
      <x:c r="M12" s="19"/>
      <x:c r="N12" s="19"/>
      <x:c r="O12" s="19"/>
      <x:c r="P12" s="19"/>
      <x:c r="Q12" s="19"/>
      <x:c r="R12" s="20">
        <x:v>0.01</x:v>
      </x:c>
      <x:c r="S12" s="20">
        <x:v>0.01</x:v>
      </x:c>
      <x:c r="T12" s="20">
        <x:v>0.01</x:v>
      </x:c>
      <x:c r="U12" s="20">
        <x:v>0.01</x:v>
      </x:c>
      <x:c r="V12" s="20">
        <x:v>0.01</x:v>
      </x:c>
      <x:c r="W12" s="20">
        <x:v>0.01</x:v>
      </x:c>
    </x:row>
    <x:row r="13" ht="19" customHeight="1">
      <x:c r="A13" s="2"/>
      <x:c r="B13" s="2"/>
      <x:c r="C13" s="2" t="s">
        <x:v>85</x:v>
      </x:c>
      <x:c r="D13" s="19"/>
      <x:c r="E13" s="19"/>
      <x:c r="F13" s="19"/>
      <x:c r="G13" s="19"/>
      <x:c r="H13" s="19"/>
      <x:c r="I13" s="19"/>
      <x:c r="J13" s="19"/>
      <x:c r="K13" s="19"/>
      <x:c r="L13" s="19"/>
      <x:c r="M13" s="19"/>
      <x:c r="N13" s="19"/>
      <x:c r="O13" s="19"/>
      <x:c r="P13" s="19"/>
      <x:c r="Q13" s="19"/>
      <x:c r="R13" s="20">
        <x:v>0</x:v>
      </x:c>
      <x:c r="S13" s="20">
        <x:v>0</x:v>
      </x:c>
      <x:c r="T13" s="20">
        <x:v>0</x:v>
      </x:c>
      <x:c r="U13" s="20">
        <x:v>0</x:v>
      </x:c>
      <x:c r="V13" s="20">
        <x:v>0</x:v>
      </x:c>
      <x:c r="W13" s="20">
        <x:v>0</x:v>
      </x:c>
    </x:row>
    <x:row r="14" ht="19" customHeight="1">
      <x:c r="A14" s="2"/>
      <x:c r="B14" s="2"/>
      <x:c r="C14" s="2" t="s">
        <x:v>86</x:v>
      </x:c>
      <x:c r="D14" s="19"/>
      <x:c r="E14" s="19"/>
      <x:c r="F14" s="19"/>
      <x:c r="G14" s="19"/>
      <x:c r="H14" s="19"/>
      <x:c r="I14" s="19"/>
      <x:c r="J14" s="19"/>
      <x:c r="K14" s="19"/>
      <x:c r="L14" s="19"/>
      <x:c r="M14" s="19"/>
      <x:c r="N14" s="19"/>
      <x:c r="O14" s="19"/>
      <x:c r="P14" s="19"/>
      <x:c r="Q14" s="19"/>
      <x:c r="R14" s="20">
        <x:v>0.02</x:v>
      </x:c>
      <x:c r="S14" s="20">
        <x:v>0.02</x:v>
      </x:c>
      <x:c r="T14" s="20">
        <x:v>0.02</x:v>
      </x:c>
      <x:c r="U14" s="20">
        <x:v>0.02</x:v>
      </x:c>
      <x:c r="V14" s="20">
        <x:v>0.02</x:v>
      </x:c>
      <x:c r="W14" s="20">
        <x:v>0.02</x:v>
      </x:c>
    </x:row>
    <x:row r="15" ht="19" customHeight="1">
      <x:c r="A15" s="2"/>
      <x:c r="B15" s="2"/>
      <x:c r="C15" s="2" t="s">
        <x:v>87</x:v>
      </x:c>
      <x:c r="D15" s="19"/>
      <x:c r="E15" s="19"/>
      <x:c r="F15" s="19"/>
      <x:c r="G15" s="19"/>
      <x:c r="H15" s="19"/>
      <x:c r="I15" s="19"/>
      <x:c r="J15" s="19"/>
      <x:c r="K15" s="19"/>
      <x:c r="L15" s="19"/>
      <x:c r="M15" s="19"/>
      <x:c r="N15" s="19"/>
      <x:c r="O15" s="19"/>
      <x:c r="P15" s="19"/>
      <x:c r="Q15" s="19"/>
      <x:c r="R15" s="20">
        <x:v>0.01</x:v>
      </x:c>
      <x:c r="S15" s="20">
        <x:v>0.01</x:v>
      </x:c>
      <x:c r="T15" s="20">
        <x:v>0.01</x:v>
      </x:c>
      <x:c r="U15" s="20">
        <x:v>0.01</x:v>
      </x:c>
      <x:c r="V15" s="20">
        <x:v>0.01</x:v>
      </x:c>
      <x:c r="W15" s="20">
        <x:v>0.01</x:v>
      </x:c>
    </x:row>
    <x:row r="16" ht="19" customHeight="1">
      <x:c r="A16" s="2"/>
      <x:c r="B16" s="2"/>
      <x:c r="C16" s="2"/>
      <x:c r="D16" s="3"/>
      <x:c r="E16" s="3"/>
      <x:c r="F16" s="3"/>
      <x:c r="G16" s="3"/>
      <x:c r="H16" s="3"/>
      <x:c r="I16" s="3"/>
      <x:c r="J16" s="3"/>
      <x:c r="K16" s="3"/>
      <x:c r="L16" s="3"/>
      <x:c r="M16" s="3"/>
      <x:c r="N16" s="3"/>
      <x:c r="O16" s="3"/>
      <x:c r="P16" s="3"/>
      <x:c r="Q16" s="3"/>
      <x:c r="R16" s="3"/>
      <x:c r="S16" s="3"/>
      <x:c r="T16" s="3"/>
      <x:c r="U16" s="3"/>
      <x:c r="V16" s="3"/>
      <x:c r="W16" s="3"/>
    </x:row>
    <x:row r="17" ht="19" customHeight="1">
      <x:c r="A17" s="2"/>
      <x:c r="B17" s="2"/>
      <x:c r="C17" s="11" t="s">
        <x:v>88</x:v>
      </x:c>
      <x:c r="D17" s="12"/>
      <x:c r="E17" s="12"/>
      <x:c r="F17" s="12"/>
      <x:c r="G17" s="12"/>
      <x:c r="H17" s="12"/>
      <x:c r="I17" s="12"/>
      <x:c r="J17" s="12"/>
      <x:c r="K17" s="12"/>
      <x:c r="L17" s="12"/>
      <x:c r="M17" s="12"/>
      <x:c r="N17" s="12"/>
      <x:c r="O17" s="12"/>
      <x:c r="P17" s="12"/>
      <x:c r="Q17" s="12"/>
      <x:c r="R17" s="12"/>
      <x:c r="S17" s="12"/>
      <x:c r="T17" s="12"/>
      <x:c r="U17" s="12"/>
      <x:c r="V17" s="12"/>
      <x:c r="W17" s="12"/>
    </x:row>
    <x:row r="18" ht="19" customHeight="1">
      <x:c r="A18" s="2"/>
      <x:c r="B18" s="2"/>
      <x:c r="C18" s="21" t="s">
        <x:v>83</x:v>
      </x:c>
      <x:c r="D18" s="22" t="n">
        <x:f>'Fee engine'!D20</x:f>
        <x:v>0.004884856943475226</x:v>
      </x:c>
      <x:c r="E18" s="22" t="n">
        <x:f>'Fee engine'!E20</x:f>
        <x:v>0.030407740152038707</x:v>
      </x:c>
      <x:c r="F18" s="22" t="n">
        <x:f>'Fee engine'!F20</x:f>
        <x:v>0.0006591957811470007</x:v>
      </x:c>
      <x:c r="G18" s="22" t="n">
        <x:f>'Fee engine'!G20</x:f>
        <x:v>0.027915632754342435</x:v>
      </x:c>
      <x:c r="H18" s="22" t="n">
        <x:f>'Fee engine'!H20</x:f>
        <x:v>0.05850746268656718</x:v>
      </x:c>
      <x:c r="I18" s="22" t="n">
        <x:f>'Fee engine'!I20</x:f>
        <x:v>0.007398975526465567</x:v>
      </x:c>
      <x:c r="J18" s="22" t="n">
        <x:f>'Fee engine'!J20</x:f>
        <x:v>0.0022446689113355778</x:v>
      </x:c>
      <x:c r="K18" s="22" t="n">
        <x:f>'Fee engine'!K20</x:f>
        <x:v>-0.003430531732418525</x:v>
      </x:c>
      <x:c r="L18" s="22" t="n">
        <x:f>'Fee engine'!L20</x:f>
        <x:v>-0.006524317912218268</x:v>
      </x:c>
      <x:c r="M18" s="22" t="n">
        <x:f>'Fee engine'!M20</x:f>
        <x:v>0.020857473928157587</x:v>
      </x:c>
      <x:c r="N18" s="22" t="n">
        <x:f>'Fee engine'!N20</x:f>
        <x:v>0.05173305742369374</x:v>
      </x:c>
      <x:c r="O18" s="22" t="n">
        <x:f>'Fee engine'!O20</x:f>
        <x:v>0.04160822814399252</x:v>
      </x:c>
      <x:c r="P18" s="22" t="n">
        <x:f>'Fee engine'!P20</x:f>
        <x:v>0.013620386643233744</x:v>
      </x:c>
      <x:c r="Q18" s="22" t="n">
        <x:f>'Fee engine'!Q20</x:f>
        <x:v>0.07302142544818539</x:v>
      </x:c>
      <x:c r="R18" s="23" t="n">
        <x:f t="shared" ref="R18:W18" si="1">IF(CHOOSE($D$4,ISBLANK(R19),ISBLANK(R20),ISBLANK(R21),ISBLANK(R22)),NA(),CHOOSE($D$4,R19,R20,R21,R22))</x:f>
        <x:v>0.015</x:v>
      </x:c>
      <x:c r="S18" s="23">
        <x:f t="shared" si="1"/>
        <x:v>1.4999999999999999E-2</x:v>
      </x:c>
      <x:c r="T18" s="23">
        <x:f t="shared" si="1"/>
        <x:v>1.4999999999999999E-2</x:v>
      </x:c>
      <x:c r="U18" s="23">
        <x:f t="shared" si="1"/>
        <x:v>1.4999999999999999E-2</x:v>
      </x:c>
      <x:c r="V18" s="23">
        <x:f t="shared" si="1"/>
        <x:v>1.4999999999999999E-2</x:v>
      </x:c>
      <x:c r="W18" s="23">
        <x:f t="shared" si="1"/>
        <x:v>1.4999999999999999E-2</x:v>
      </x:c>
    </x:row>
    <x:row r="19" ht="19" customHeight="1">
      <x:c r="A19" s="2"/>
      <x:c r="B19" s="2"/>
      <x:c r="C19" s="2" t="s">
        <x:v>84</x:v>
      </x:c>
      <x:c r="D19" s="19"/>
      <x:c r="E19" s="19"/>
      <x:c r="F19" s="19"/>
      <x:c r="G19" s="19"/>
      <x:c r="H19" s="19"/>
      <x:c r="I19" s="19"/>
      <x:c r="J19" s="19"/>
      <x:c r="K19" s="19"/>
      <x:c r="L19" s="19"/>
      <x:c r="M19" s="19"/>
      <x:c r="N19" s="19"/>
      <x:c r="O19" s="19"/>
      <x:c r="P19" s="19"/>
      <x:c r="Q19" s="19"/>
      <x:c r="R19" s="20">
        <x:v>1.4999999999999999E-2</x:v>
      </x:c>
      <x:c r="S19" s="20">
        <x:v>1.4999999999999999E-2</x:v>
      </x:c>
      <x:c r="T19" s="20">
        <x:v>1.4999999999999999E-2</x:v>
      </x:c>
      <x:c r="U19" s="20">
        <x:v>1.4999999999999999E-2</x:v>
      </x:c>
      <x:c r="V19" s="20">
        <x:v>1.4999999999999999E-2</x:v>
      </x:c>
      <x:c r="W19" s="20">
        <x:v>1.4999999999999999E-2</x:v>
      </x:c>
    </x:row>
    <x:row r="20" ht="19" customHeight="1">
      <x:c r="A20" s="2"/>
      <x:c r="B20" s="2"/>
      <x:c r="C20" s="2" t="s">
        <x:v>85</x:v>
      </x:c>
      <x:c r="D20" s="19"/>
      <x:c r="E20" s="19"/>
      <x:c r="F20" s="19"/>
      <x:c r="G20" s="19"/>
      <x:c r="H20" s="19"/>
      <x:c r="I20" s="19"/>
      <x:c r="J20" s="19"/>
      <x:c r="K20" s="19"/>
      <x:c r="L20" s="19"/>
      <x:c r="M20" s="19"/>
      <x:c r="N20" s="19"/>
      <x:c r="O20" s="19"/>
      <x:c r="P20" s="19"/>
      <x:c r="Q20" s="19"/>
      <x:c r="R20" s="20">
        <x:v>1.4999999999999999E-2</x:v>
      </x:c>
      <x:c r="S20" s="20">
        <x:v>1.4999999999999999E-2</x:v>
      </x:c>
      <x:c r="T20" s="20">
        <x:v>1.4999999999999999E-2</x:v>
      </x:c>
      <x:c r="U20" s="20">
        <x:v>1.4999999999999999E-2</x:v>
      </x:c>
      <x:c r="V20" s="20">
        <x:v>1.4999999999999999E-2</x:v>
      </x:c>
      <x:c r="W20" s="20">
        <x:v>1.4999999999999999E-2</x:v>
      </x:c>
    </x:row>
    <x:row r="21" ht="19" customHeight="1">
      <x:c r="A21" s="2"/>
      <x:c r="B21" s="2"/>
      <x:c r="C21" s="2" t="s">
        <x:v>86</x:v>
      </x:c>
      <x:c r="D21" s="19"/>
      <x:c r="E21" s="19"/>
      <x:c r="F21" s="19"/>
      <x:c r="G21" s="19"/>
      <x:c r="H21" s="19"/>
      <x:c r="I21" s="19"/>
      <x:c r="J21" s="19"/>
      <x:c r="K21" s="19"/>
      <x:c r="L21" s="19"/>
      <x:c r="M21" s="19"/>
      <x:c r="N21" s="19"/>
      <x:c r="O21" s="19"/>
      <x:c r="P21" s="19"/>
      <x:c r="Q21" s="19"/>
      <x:c r="R21" s="20">
        <x:v>1.4999999999999999E-2</x:v>
      </x:c>
      <x:c r="S21" s="20">
        <x:v>1.4999999999999999E-2</x:v>
      </x:c>
      <x:c r="T21" s="20">
        <x:v>1.4999999999999999E-2</x:v>
      </x:c>
      <x:c r="U21" s="20">
        <x:v>1.4999999999999999E-2</x:v>
      </x:c>
      <x:c r="V21" s="20">
        <x:v>1.4999999999999999E-2</x:v>
      </x:c>
      <x:c r="W21" s="20">
        <x:v>1.4999999999999999E-2</x:v>
      </x:c>
    </x:row>
    <x:row r="22" ht="19" customHeight="1">
      <x:c r="A22" s="2"/>
      <x:c r="B22" s="2"/>
      <x:c r="C22" s="2" t="s">
        <x:v>87</x:v>
      </x:c>
      <x:c r="D22" s="19"/>
      <x:c r="E22" s="19"/>
      <x:c r="F22" s="19"/>
      <x:c r="G22" s="19"/>
      <x:c r="H22" s="19"/>
      <x:c r="I22" s="19"/>
      <x:c r="J22" s="19"/>
      <x:c r="K22" s="19"/>
      <x:c r="L22" s="19"/>
      <x:c r="M22" s="19"/>
      <x:c r="N22" s="19"/>
      <x:c r="O22" s="19"/>
      <x:c r="P22" s="19"/>
      <x:c r="Q22" s="19"/>
      <x:c r="R22" s="20">
        <x:v>1.4999999999999999E-2</x:v>
      </x:c>
      <x:c r="S22" s="20">
        <x:v>1.4999999999999999E-2</x:v>
      </x:c>
      <x:c r="T22" s="20">
        <x:v>1.4999999999999999E-2</x:v>
      </x:c>
      <x:c r="U22" s="20">
        <x:v>1.4999999999999999E-2</x:v>
      </x:c>
      <x:c r="V22" s="20">
        <x:v>1.4999999999999999E-2</x:v>
      </x:c>
      <x:c r="W22" s="20">
        <x:v>1.4999999999999999E-2</x:v>
      </x:c>
    </x:row>
    <x:row r="23" ht="19" customHeight="1">
      <x:c r="A23" s="2"/>
      <x:c r="B23" s="2"/>
      <x:c r="C23" s="2"/>
      <x:c r="D23" s="3"/>
      <x:c r="E23" s="3"/>
      <x:c r="F23" s="3"/>
      <x:c r="G23" s="3"/>
      <x:c r="H23" s="3"/>
      <x:c r="I23" s="3"/>
      <x:c r="J23" s="3"/>
      <x:c r="K23" s="3"/>
      <x:c r="L23" s="3"/>
      <x:c r="M23" s="3"/>
      <x:c r="N23" s="3"/>
      <x:c r="O23" s="3"/>
      <x:c r="P23" s="3"/>
      <x:c r="Q23" s="3"/>
      <x:c r="R23" s="3"/>
      <x:c r="S23" s="3"/>
      <x:c r="T23" s="3"/>
      <x:c r="U23" s="3"/>
      <x:c r="V23" s="3"/>
      <x:c r="W23" s="3"/>
    </x:row>
    <x:row r="24" ht="19" customHeight="1">
      <x:c r="A24" s="2"/>
      <x:c r="B24" s="2"/>
      <x:c r="C24" s="11" t="s">
        <x:v>89</x:v>
      </x:c>
      <x:c r="D24" s="12"/>
      <x:c r="E24" s="12"/>
      <x:c r="F24" s="12"/>
      <x:c r="G24" s="12"/>
      <x:c r="H24" s="12"/>
      <x:c r="I24" s="12"/>
      <x:c r="J24" s="12"/>
      <x:c r="K24" s="12"/>
      <x:c r="L24" s="12"/>
      <x:c r="M24" s="12"/>
      <x:c r="N24" s="12"/>
      <x:c r="O24" s="12"/>
      <x:c r="P24" s="12"/>
      <x:c r="Q24" s="12"/>
      <x:c r="R24" s="12"/>
      <x:c r="S24" s="12"/>
      <x:c r="T24" s="12"/>
      <x:c r="U24" s="12"/>
      <x:c r="V24" s="12"/>
      <x:c r="W24" s="12"/>
    </x:row>
    <x:row r="25" ht="19" customHeight="1">
      <x:c r="A25" s="2"/>
      <x:c r="B25" s="2"/>
      <x:c r="C25" s="21" t="s">
        <x:v>83</x:v>
      </x:c>
      <x:c r="D25" s="28" t="n">
        <x:f>'Fee engine'!D26</x:f>
        <x:v>62.97056810403833</x:v>
      </x:c>
      <x:c r="E25" s="28" t="n">
        <x:f>'Fee engine'!E26</x:f>
        <x:v>62.97056810403833</x:v>
      </x:c>
      <x:c r="F25" s="28" t="n">
        <x:f>'Fee engine'!F26</x:f>
        <x:v>62.71820448877806</x:v>
      </x:c>
      <x:c r="G25" s="28" t="n">
        <x:f>'Fee engine'!G26</x:f>
        <x:v>62.71820448877806</x:v>
      </x:c>
      <x:c r="H25" s="28" t="n">
        <x:f>'Fee engine'!H26</x:f>
        <x:v>63.23339549562474</x:v>
      </x:c>
      <x:c r="I25" s="28" t="n">
        <x:f>'Fee engine'!I26</x:f>
        <x:v>63.233395495624734</x:v>
      </x:c>
      <x:c r="J25" s="28" t="n">
        <x:f>'Fee engine'!J26</x:f>
        <x:v>62.70456503014643</x:v>
      </x:c>
      <x:c r="K25" s="28" t="n">
        <x:f>'Fee engine'!K26</x:f>
        <x:v>62.704565030146426</x:v>
      </x:c>
      <x:c r="L25" s="28" t="n">
        <x:f>'Fee engine'!L26</x:f>
        <x:v>58.49243388488189</x:v>
      </x:c>
      <x:c r="M25" s="28" t="n">
        <x:f>'Fee engine'!M26</x:f>
        <x:v>58.49243388488189</x:v>
      </x:c>
      <x:c r="N25" s="28" t="n">
        <x:f>'Fee engine'!N26</x:f>
        <x:v>52.78661482266996</x:v>
      </x:c>
      <x:c r="O25" s="28" t="n">
        <x:f>'Fee engine'!O26</x:f>
        <x:v>52.78661482266997</x:v>
      </x:c>
      <x:c r="P25" s="28" t="n">
        <x:f>'Fee engine'!P26</x:f>
        <x:v>53.44129554655871</x:v>
      </x:c>
      <x:c r="Q25" s="28" t="n">
        <x:f>'Fee engine'!Q26</x:f>
        <x:v>53.44129554655871</x:v>
      </x:c>
      <x:c r="R25" s="29" t="n">
        <x:f t="shared" ref="R25:W25" si="2">IF(CHOOSE($D$4,ISBLANK(R26),ISBLANK(R27),ISBLANK(R28),ISBLANK(R29)),NA(),CHOOSE($D$4,R26,R27,R28,R29))</x:f>
        <x:v>56</x:v>
      </x:c>
      <x:c r="S25" s="29" t="n">
        <x:f t="shared" si="2">IF(CHOOSE($D$4,ISBLANK(S26),ISBLANK(S27),ISBLANK(S28),ISBLANK(S29)),NA(),CHOOSE($D$4,S26,S27,S28,S29))</x:f>
        <x:v>56</x:v>
      </x:c>
      <x:c r="T25" s="29" t="n">
        <x:f t="shared" si="2">IF(CHOOSE($D$4,ISBLANK(T26),ISBLANK(T27),ISBLANK(T28),ISBLANK(T29)),NA(),CHOOSE($D$4,T26,T27,T28,T29))</x:f>
        <x:v>56</x:v>
      </x:c>
      <x:c r="U25" s="29" t="n">
        <x:f t="shared" si="2">IF(CHOOSE($D$4,ISBLANK(U26),ISBLANK(U27),ISBLANK(U28),ISBLANK(U29)),NA(),CHOOSE($D$4,U26,U27,U28,U29))</x:f>
        <x:v>56</x:v>
      </x:c>
      <x:c r="V25" s="29" t="n">
        <x:f t="shared" si="2">IF(CHOOSE($D$4,ISBLANK(V26),ISBLANK(V27),ISBLANK(V28),ISBLANK(V29)),NA(),CHOOSE($D$4,V26,V27,V28,V29))</x:f>
        <x:v>56</x:v>
      </x:c>
      <x:c r="W25" s="29" t="n">
        <x:f t="shared" si="2">IF(CHOOSE($D$4,ISBLANK(W26),ISBLANK(W27),ISBLANK(W28),ISBLANK(W29)),NA(),CHOOSE($D$4,W26,W27,W28,W29))</x:f>
        <x:v>56</x:v>
      </x:c>
    </x:row>
    <x:row r="26" ht="19" customHeight="1">
      <x:c r="A26" s="2"/>
      <x:c r="B26" s="2"/>
      <x:c r="C26" s="2" t="s">
        <x:v>84</x:v>
      </x:c>
      <x:c r="D26" s="25"/>
      <x:c r="E26" s="25"/>
      <x:c r="F26" s="25"/>
      <x:c r="G26" s="25"/>
      <x:c r="H26" s="25"/>
      <x:c r="I26" s="25"/>
      <x:c r="J26" s="25"/>
      <x:c r="K26" s="25"/>
      <x:c r="L26" s="25"/>
      <x:c r="M26" s="25"/>
      <x:c r="N26" s="25"/>
      <x:c r="O26" s="25"/>
      <x:c r="P26" s="25"/>
      <x:c r="Q26" s="25"/>
      <x:c r="R26" s="26" t="n">
        <x:f t="shared" ref="R26:W26" si="3">$D$50</x:f>
        <x:v>56</x:v>
      </x:c>
      <x:c r="S26" s="26">
        <x:f t="shared" si="3"/>
        <x:v>56</x:v>
      </x:c>
      <x:c r="T26" s="26">
        <x:f t="shared" si="3"/>
        <x:v>56</x:v>
      </x:c>
      <x:c r="U26" s="26">
        <x:f t="shared" si="3"/>
        <x:v>56</x:v>
      </x:c>
      <x:c r="V26" s="26">
        <x:f t="shared" si="3"/>
        <x:v>56</x:v>
      </x:c>
      <x:c r="W26" s="26" t="n">
        <x:f t="shared" si="3">$D$50</x:f>
        <x:v>56</x:v>
      </x:c>
    </x:row>
    <x:row r="27" ht="19" customHeight="1">
      <x:c r="A27" s="2"/>
      <x:c r="B27" s="2"/>
      <x:c r="C27" s="2" t="s">
        <x:v>85</x:v>
      </x:c>
      <x:c r="D27" s="25"/>
      <x:c r="E27" s="25"/>
      <x:c r="F27" s="25"/>
      <x:c r="G27" s="25"/>
      <x:c r="H27" s="25"/>
      <x:c r="I27" s="25"/>
      <x:c r="J27" s="25"/>
      <x:c r="K27" s="25"/>
      <x:c r="L27" s="25"/>
      <x:c r="M27" s="25"/>
      <x:c r="N27" s="25"/>
      <x:c r="O27" s="25"/>
      <x:c r="P27" s="25"/>
      <x:c r="Q27" s="25"/>
      <x:c r="R27" s="27">
        <x:v>52</x:v>
      </x:c>
      <x:c r="S27" s="27">
        <x:v>52</x:v>
      </x:c>
      <x:c r="T27" s="27">
        <x:v>52</x:v>
      </x:c>
      <x:c r="U27" s="27">
        <x:v>52</x:v>
      </x:c>
      <x:c r="V27" s="27">
        <x:v>52</x:v>
      </x:c>
      <x:c r="W27" s="27">
        <x:v>52</x:v>
      </x:c>
    </x:row>
    <x:row r="28" ht="19" customHeight="1">
      <x:c r="A28" s="2"/>
      <x:c r="B28" s="2"/>
      <x:c r="C28" s="2" t="s">
        <x:v>86</x:v>
      </x:c>
      <x:c r="D28" s="25"/>
      <x:c r="E28" s="25"/>
      <x:c r="F28" s="25"/>
      <x:c r="G28" s="25"/>
      <x:c r="H28" s="25"/>
      <x:c r="I28" s="25"/>
      <x:c r="J28" s="25"/>
      <x:c r="K28" s="25"/>
      <x:c r="L28" s="25"/>
      <x:c r="M28" s="25"/>
      <x:c r="N28" s="25"/>
      <x:c r="O28" s="25"/>
      <x:c r="P28" s="25"/>
      <x:c r="Q28" s="25"/>
      <x:c r="R28" s="27">
        <x:v>58</x:v>
      </x:c>
      <x:c r="S28" s="27">
        <x:v>58</x:v>
      </x:c>
      <x:c r="T28" s="27">
        <x:v>58</x:v>
      </x:c>
      <x:c r="U28" s="27">
        <x:v>58</x:v>
      </x:c>
      <x:c r="V28" s="27">
        <x:v>58</x:v>
      </x:c>
      <x:c r="W28" s="27">
        <x:v>58</x:v>
      </x:c>
    </x:row>
    <x:row r="29" ht="19" customHeight="1">
      <x:c r="A29" s="2"/>
      <x:c r="B29" s="2"/>
      <x:c r="C29" s="2" t="s">
        <x:v>87</x:v>
      </x:c>
      <x:c r="D29" s="25"/>
      <x:c r="E29" s="25"/>
      <x:c r="F29" s="25"/>
      <x:c r="G29" s="25"/>
      <x:c r="H29" s="25"/>
      <x:c r="I29" s="25"/>
      <x:c r="J29" s="25"/>
      <x:c r="K29" s="25"/>
      <x:c r="L29" s="25"/>
      <x:c r="M29" s="25"/>
      <x:c r="N29" s="25"/>
      <x:c r="O29" s="25"/>
      <x:c r="P29" s="25"/>
      <x:c r="Q29" s="25"/>
      <x:c r="R29" s="26" t="n">
        <x:f t="shared" ref="R29:W29" si="4">$D$50</x:f>
        <x:v>56</x:v>
      </x:c>
      <x:c r="S29" s="26">
        <x:f t="shared" si="4"/>
        <x:v>56</x:v>
      </x:c>
      <x:c r="T29" s="26">
        <x:f t="shared" si="4"/>
        <x:v>56</x:v>
      </x:c>
      <x:c r="U29" s="26">
        <x:f t="shared" si="4"/>
        <x:v>56</x:v>
      </x:c>
      <x:c r="V29" s="26">
        <x:f t="shared" si="4"/>
        <x:v>56</x:v>
      </x:c>
      <x:c r="W29" s="26">
        <x:f t="shared" si="4"/>
        <x:v>56</x:v>
      </x:c>
    </x:row>
    <x:row r="30" ht="19" customHeight="1">
      <x:c r="A30" s="2"/>
      <x:c r="B30" s="2"/>
      <x:c r="C30" s="2"/>
      <x:c r="D30" s="3"/>
      <x:c r="E30" s="3"/>
      <x:c r="F30" s="3"/>
      <x:c r="G30" s="3"/>
      <x:c r="H30" s="3"/>
      <x:c r="I30" s="3"/>
      <x:c r="J30" s="3"/>
      <x:c r="K30" s="3"/>
      <x:c r="L30" s="3"/>
      <x:c r="M30" s="3"/>
      <x:c r="N30" s="3"/>
      <x:c r="O30" s="3"/>
      <x:c r="P30" s="3"/>
      <x:c r="Q30" s="3"/>
      <x:c r="R30" s="3"/>
      <x:c r="S30" s="3"/>
      <x:c r="T30" s="3"/>
      <x:c r="U30" s="3"/>
      <x:c r="V30" s="3"/>
      <x:c r="W30" s="3"/>
    </x:row>
    <x:row r="31" ht="19" customHeight="1">
      <x:c r="A31" s="2"/>
      <x:c r="B31" s="2"/>
      <x:c r="C31" s="11" t="s">
        <x:v>90</x:v>
      </x:c>
      <x:c r="D31" s="12"/>
      <x:c r="E31" s="12"/>
      <x:c r="F31" s="12"/>
      <x:c r="G31" s="12"/>
      <x:c r="H31" s="12"/>
      <x:c r="I31" s="12"/>
      <x:c r="J31" s="12"/>
      <x:c r="K31" s="12"/>
      <x:c r="L31" s="12"/>
      <x:c r="M31" s="12"/>
      <x:c r="N31" s="12"/>
      <x:c r="O31" s="12"/>
      <x:c r="P31" s="12"/>
      <x:c r="Q31" s="12"/>
      <x:c r="R31" s="12"/>
      <x:c r="S31" s="12"/>
      <x:c r="T31" s="12"/>
      <x:c r="U31" s="12"/>
      <x:c r="V31" s="12"/>
      <x:c r="W31" s="12"/>
    </x:row>
    <x:row r="32" ht="19" customHeight="1">
      <x:c r="A32" s="2"/>
      <x:c r="B32" s="2"/>
      <x:c r="C32" s="21" t="s">
        <x:v>83</x:v>
      </x:c>
      <x:c r="D32" s="31" t="n">
        <x:f>'Fee engine'!D28</x:f>
        <x:v>3.2</x:v>
      </x:c>
      <x:c r="E32" s="31" t="n">
        <x:f>'Fee engine'!E28</x:f>
        <x:v>28.8</x:v>
      </x:c>
      <x:c r="F32" s="31" t="n">
        <x:f>'Fee engine'!F28</x:f>
        <x:v>14.8</x:v>
      </x:c>
      <x:c r="G32" s="31" t="n">
        <x:f>'Fee engine'!G28</x:f>
        <x:v>133.20000000000002</x:v>
      </x:c>
      <x:c r="H32" s="31" t="n">
        <x:f>'Fee engine'!H28</x:f>
        <x:v>17</x:v>
      </x:c>
      <x:c r="I32" s="31" t="n">
        <x:f>'Fee engine'!I28</x:f>
        <x:v>153</x:v>
      </x:c>
      <x:c r="J32" s="31" t="n">
        <x:f>'Fee engine'!J28</x:f>
        <x:v>14</x:v>
      </x:c>
      <x:c r="K32" s="31" t="n">
        <x:f>'Fee engine'!K28</x:f>
        <x:v>126</x:v>
      </x:c>
      <x:c r="L32" s="31" t="n">
        <x:f>'Fee engine'!L28</x:f>
        <x:v>6.7</x:v>
      </x:c>
      <x:c r="M32" s="31" t="n">
        <x:f>'Fee engine'!M28</x:f>
        <x:v>60.300000000000004</x:v>
      </x:c>
      <x:c r="N32" s="31" t="n">
        <x:f>'Fee engine'!N28</x:f>
        <x:v>21.400000000000002</x:v>
      </x:c>
      <x:c r="O32" s="31" t="n">
        <x:f>'Fee engine'!O28</x:f>
        <x:v>192.6</x:v>
      </x:c>
      <x:c r="P32" s="31" t="n">
        <x:f>'Fee engine'!P28</x:f>
        <x:v>20.700000000000003</x:v>
      </x:c>
      <x:c r="Q32" s="31" t="n">
        <x:f>'Fee engine'!Q28</x:f>
        <x:v>186.3</x:v>
      </x:c>
      <x:c r="R32" s="32" t="n">
        <x:f t="shared" ref="R32:W32" si="5">IF(CHOOSE($D$4,ISBLANK(R33),ISBLANK(R34),ISBLANK(R35),ISBLANK(R36)),NA(),CHOOSE($D$4,R33,R34,R35,R36))</x:f>
        <x:v>21.400000000000002</x:v>
      </x:c>
      <x:c r="S32" s="32">
        <x:f t="shared" si="5"/>
        <x:v>192.6</x:v>
      </x:c>
      <x:c r="T32" s="32">
        <x:f t="shared" si="5"/>
        <x:v>6.7</x:v>
      </x:c>
      <x:c r="U32" s="32">
        <x:f t="shared" si="5"/>
        <x:v>60.300000000000004</x:v>
      </x:c>
      <x:c r="V32" s="32">
        <x:f t="shared" si="5"/>
        <x:v>21.400000000000002</x:v>
      </x:c>
      <x:c r="W32" s="32">
        <x:f t="shared" si="5"/>
        <x:v>192.6</x:v>
      </x:c>
    </x:row>
    <x:row r="33" ht="19" customHeight="1">
      <x:c r="A33" s="2"/>
      <x:c r="B33" s="2"/>
      <x:c r="C33" s="2" t="s">
        <x:v>84</x:v>
      </x:c>
      <x:c r="D33" s="3"/>
      <x:c r="E33" s="3"/>
      <x:c r="F33" s="3"/>
      <x:c r="G33" s="3"/>
      <x:c r="H33" s="3"/>
      <x:c r="I33" s="3"/>
      <x:c r="J33" s="3"/>
      <x:c r="K33" s="3"/>
      <x:c r="L33" s="3"/>
      <x:c r="M33" s="3"/>
      <x:c r="N33" s="3"/>
      <x:c r="O33" s="3"/>
      <x:c r="P33" s="3"/>
      <x:c r="Q33" s="3"/>
      <x:c r="R33" s="30" t="n">
        <x:f>'Fee engine'!N28*$D$44</x:f>
        <x:v>21.400000000000002</x:v>
      </x:c>
      <x:c r="S33" s="30" t="n">
        <x:f>'Fee engine'!O28*$D$44</x:f>
        <x:v>192.6</x:v>
      </x:c>
      <x:c r="T33" s="30" t="n">
        <x:f>'Fee engine'!L28*$D$44</x:f>
        <x:v>6.7</x:v>
      </x:c>
      <x:c r="U33" s="30" t="n">
        <x:f>'Fee engine'!M28*$D$44</x:f>
        <x:v>60.300000000000004</x:v>
      </x:c>
      <x:c r="V33" s="30" t="n">
        <x:f>'Fee engine'!N28*$D$44</x:f>
        <x:v>21.400000000000002</x:v>
      </x:c>
      <x:c r="W33" s="30" t="n">
        <x:f>'Fee engine'!O28*$D$44</x:f>
        <x:v>192.6</x:v>
      </x:c>
    </x:row>
    <x:row r="34" ht="19" customHeight="1">
      <x:c r="A34" s="2"/>
      <x:c r="B34" s="2"/>
      <x:c r="C34" s="2" t="s">
        <x:v>85</x:v>
      </x:c>
      <x:c r="D34" s="3"/>
      <x:c r="E34" s="3"/>
      <x:c r="F34" s="3"/>
      <x:c r="G34" s="3"/>
      <x:c r="H34" s="3"/>
      <x:c r="I34" s="3"/>
      <x:c r="J34" s="3"/>
      <x:c r="K34" s="3"/>
      <x:c r="L34" s="3"/>
      <x:c r="M34" s="3"/>
      <x:c r="N34" s="3"/>
      <x:c r="O34" s="3"/>
      <x:c r="P34" s="3"/>
      <x:c r="Q34" s="3"/>
      <x:c r="R34" s="30" t="n">
        <x:f>'Fee engine'!N28*$D$45</x:f>
        <x:v>10.700000000000001</x:v>
      </x:c>
      <x:c r="S34" s="30" t="n">
        <x:f>'Fee engine'!O28*$D$45</x:f>
        <x:v>96.3</x:v>
      </x:c>
      <x:c r="T34" s="30" t="n">
        <x:f>'Fee engine'!L28*$D$45</x:f>
        <x:v>3.35</x:v>
      </x:c>
      <x:c r="U34" s="30" t="n">
        <x:f>'Fee engine'!M28*$D$45</x:f>
        <x:v>30.150000000000002</x:v>
      </x:c>
      <x:c r="V34" s="30" t="n">
        <x:f>'Fee engine'!N28*$D$45</x:f>
        <x:v>10.700000000000001</x:v>
      </x:c>
      <x:c r="W34" s="30" t="n">
        <x:f>'Fee engine'!O28*$D$45</x:f>
        <x:v>96.3</x:v>
      </x:c>
    </x:row>
    <x:row r="35" ht="19" customHeight="1">
      <x:c r="A35" s="2"/>
      <x:c r="B35" s="2"/>
      <x:c r="C35" s="2" t="s">
        <x:v>86</x:v>
      </x:c>
      <x:c r="D35" s="3"/>
      <x:c r="E35" s="3"/>
      <x:c r="F35" s="3"/>
      <x:c r="G35" s="3"/>
      <x:c r="H35" s="3"/>
      <x:c r="I35" s="3"/>
      <x:c r="J35" s="3"/>
      <x:c r="K35" s="3"/>
      <x:c r="L35" s="3"/>
      <x:c r="M35" s="3"/>
      <x:c r="N35" s="3"/>
      <x:c r="O35" s="3"/>
      <x:c r="P35" s="3"/>
      <x:c r="Q35" s="3"/>
      <x:c r="R35" s="30" t="n">
        <x:f>'Fee engine'!N28*$D$46</x:f>
        <x:v>32.1</x:v>
      </x:c>
      <x:c r="S35" s="30" t="n">
        <x:f>'Fee engine'!O28*$D$46</x:f>
        <x:v>288.9</x:v>
      </x:c>
      <x:c r="T35" s="30" t="n">
        <x:f>'Fee engine'!L28*$D$46</x:f>
        <x:v>10.05</x:v>
      </x:c>
      <x:c r="U35" s="30" t="n">
        <x:f>'Fee engine'!M28*$D$46</x:f>
        <x:v>90.45</x:v>
      </x:c>
      <x:c r="V35" s="30" t="n">
        <x:f>'Fee engine'!N28*$D$46</x:f>
        <x:v>32.1</x:v>
      </x:c>
      <x:c r="W35" s="30" t="n">
        <x:f>'Fee engine'!O28*$D$46</x:f>
        <x:v>288.9</x:v>
      </x:c>
    </x:row>
    <x:row r="36" ht="19" customHeight="1">
      <x:c r="A36" s="2"/>
      <x:c r="B36" s="2"/>
      <x:c r="C36" s="2" t="s">
        <x:v>87</x:v>
      </x:c>
      <x:c r="D36" s="3"/>
      <x:c r="E36" s="3"/>
      <x:c r="F36" s="3"/>
      <x:c r="G36" s="3"/>
      <x:c r="H36" s="3"/>
      <x:c r="I36" s="3"/>
      <x:c r="J36" s="3"/>
      <x:c r="K36" s="3"/>
      <x:c r="L36" s="3"/>
      <x:c r="M36" s="3"/>
      <x:c r="N36" s="3"/>
      <x:c r="O36" s="3"/>
      <x:c r="P36" s="3"/>
      <x:c r="Q36" s="3"/>
      <x:c r="R36" s="17">
        <x:v>0</x:v>
      </x:c>
      <x:c r="S36" s="17">
        <x:v>0</x:v>
      </x:c>
      <x:c r="T36" s="17">
        <x:v>0</x:v>
      </x:c>
      <x:c r="U36" s="17">
        <x:v>0</x:v>
      </x:c>
      <x:c r="V36" s="17">
        <x:v>0</x:v>
      </x:c>
      <x:c r="W36" s="17">
        <x:v>0</x:v>
      </x:c>
    </x:row>
    <x:row r="37" ht="19" customHeight="1">
      <x:c r="A37" s="2"/>
      <x:c r="B37" s="2"/>
      <x:c r="C37" s="2"/>
      <x:c r="D37" s="3"/>
      <x:c r="E37" s="3"/>
      <x:c r="F37" s="3"/>
      <x:c r="G37" s="3"/>
      <x:c r="H37" s="3"/>
      <x:c r="I37" s="3"/>
      <x:c r="J37" s="3"/>
      <x:c r="K37" s="3"/>
      <x:c r="L37" s="3"/>
      <x:c r="M37" s="3"/>
      <x:c r="N37" s="3"/>
      <x:c r="O37" s="3"/>
      <x:c r="P37" s="3"/>
      <x:c r="Q37" s="3"/>
      <x:c r="R37" s="3"/>
      <x:c r="S37" s="3"/>
      <x:c r="T37" s="3"/>
      <x:c r="U37" s="3"/>
      <x:c r="V37" s="3"/>
      <x:c r="W37" s="3"/>
    </x:row>
    <x:row r="38" ht="19" customHeight="1">
      <x:c r="A38" s="2"/>
      <x:c r="B38" s="2"/>
      <x:c r="C38" s="2"/>
      <x:c r="D38" s="3"/>
      <x:c r="E38" s="3"/>
      <x:c r="F38" s="3"/>
      <x:c r="G38" s="3"/>
      <x:c r="H38" s="3"/>
      <x:c r="I38" s="3"/>
      <x:c r="J38" s="3"/>
      <x:c r="K38" s="3"/>
      <x:c r="L38" s="3"/>
      <x:c r="M38" s="3"/>
      <x:c r="N38" s="3"/>
      <x:c r="O38" s="3"/>
      <x:c r="P38" s="3"/>
      <x:c r="Q38" s="3"/>
      <x:c r="R38" s="3"/>
      <x:c r="S38" s="3"/>
      <x:c r="T38" s="3"/>
      <x:c r="U38" s="3"/>
      <x:c r="V38" s="3"/>
      <x:c r="W38" s="3"/>
    </x:row>
    <x:row r="39" ht="19" customHeight="1">
      <x:c r="A39" s="2"/>
      <x:c r="B39" s="2"/>
      <x:c r="C39" s="2"/>
      <x:c r="D39" s="3"/>
      <x:c r="E39" s="3"/>
      <x:c r="F39" s="3"/>
      <x:c r="G39" s="3"/>
      <x:c r="H39" s="3"/>
      <x:c r="I39" s="3"/>
      <x:c r="J39" s="3"/>
      <x:c r="K39" s="3"/>
      <x:c r="L39" s="3"/>
      <x:c r="M39" s="3"/>
      <x:c r="N39" s="3"/>
      <x:c r="O39" s="3"/>
      <x:c r="P39" s="3"/>
      <x:c r="Q39" s="3"/>
      <x:c r="R39" s="3"/>
      <x:c r="S39" s="3"/>
      <x:c r="T39" s="3"/>
      <x:c r="U39" s="3"/>
      <x:c r="V39" s="3"/>
      <x:c r="W39" s="3"/>
    </x:row>
    <x:row r="40" ht="19" customHeight="1">
      <x:c r="A40" s="2"/>
      <x:c r="B40" s="2"/>
      <x:c r="C40" s="11" t="s">
        <x:v>91</x:v>
      </x:c>
      <x:c r="D40" s="12"/>
      <x:c r="E40" s="12"/>
      <x:c r="F40" s="12"/>
      <x:c r="G40" s="12"/>
      <x:c r="H40" s="12"/>
      <x:c r="I40" s="12"/>
      <x:c r="J40" s="12"/>
      <x:c r="K40" s="12"/>
      <x:c r="L40" s="3"/>
      <x:c r="M40" s="3"/>
      <x:c r="N40" s="3"/>
      <x:c r="O40" s="3"/>
      <x:c r="P40" s="3"/>
      <x:c r="Q40" s="3"/>
      <x:c r="R40" s="3"/>
      <x:c r="S40" s="3"/>
      <x:c r="T40" s="3"/>
      <x:c r="U40" s="3"/>
      <x:c r="V40" s="3"/>
      <x:c r="W40" s="3"/>
    </x:row>
    <x:row r="41" ht="19" customHeight="1">
      <x:c r="A41" s="2"/>
      <x:c r="B41" s="2"/>
      <x:c r="C41" s="2" t="s">
        <x:v>92</x:v>
      </x:c>
      <x:c r="D41" s="33">
        <x:v>0.1</x:v>
      </x:c>
      <x:c r="E41" s="3"/>
      <x:c r="F41" s="3"/>
      <x:c r="G41" s="3"/>
      <x:c r="H41" s="3"/>
      <x:c r="I41" s="3"/>
      <x:c r="J41" s="3"/>
      <x:c r="K41" s="3"/>
      <x:c r="L41" s="3"/>
      <x:c r="M41" s="3"/>
      <x:c r="N41" s="3"/>
      <x:c r="O41" s="3"/>
      <x:c r="P41" s="3"/>
      <x:c r="Q41" s="3"/>
      <x:c r="R41" s="3"/>
      <x:c r="S41" s="3"/>
      <x:c r="T41" s="3"/>
      <x:c r="U41" s="3"/>
      <x:c r="V41" s="3"/>
      <x:c r="W41" s="3"/>
    </x:row>
    <x:row r="42" ht="19" customHeight="1">
      <x:c r="A42" s="2"/>
      <x:c r="B42" s="2"/>
      <x:c r="C42" s="2" t="s">
        <x:v>93</x:v>
      </x:c>
      <x:c r="D42" s="33">
        <x:v>0.1</x:v>
      </x:c>
      <x:c r="E42" s="3"/>
      <x:c r="F42" s="3"/>
      <x:c r="G42" s="3"/>
      <x:c r="H42" s="3"/>
      <x:c r="I42" s="3"/>
      <x:c r="J42" s="3"/>
      <x:c r="K42" s="3"/>
      <x:c r="L42" s="3"/>
      <x:c r="M42" s="3"/>
      <x:c r="N42" s="3"/>
      <x:c r="O42" s="3"/>
      <x:c r="P42" s="3"/>
      <x:c r="Q42" s="3"/>
      <x:c r="R42" s="3"/>
      <x:c r="S42" s="3"/>
      <x:c r="T42" s="3"/>
      <x:c r="U42" s="3"/>
      <x:c r="V42" s="3"/>
      <x:c r="W42" s="3"/>
    </x:row>
    <x:row r="43" ht="19" customHeight="1">
      <x:c r="A43" s="2"/>
      <x:c r="B43" s="2"/>
      <x:c r="C43" s="2" t="s">
        <x:v>94</x:v>
      </x:c>
      <x:c r="D43" s="33">
        <x:v>0.5</x:v>
      </x:c>
      <x:c r="E43" s="3"/>
      <x:c r="F43" s="3"/>
      <x:c r="G43" s="3"/>
      <x:c r="H43" s="3"/>
      <x:c r="I43" s="3"/>
      <x:c r="J43" s="3"/>
      <x:c r="K43" s="3"/>
      <x:c r="L43" s="3"/>
      <x:c r="M43" s="3"/>
      <x:c r="N43" s="3"/>
      <x:c r="O43" s="3"/>
      <x:c r="P43" s="3"/>
      <x:c r="Q43" s="3"/>
      <x:c r="R43" s="3"/>
      <x:c r="S43" s="3"/>
      <x:c r="T43" s="3"/>
      <x:c r="U43" s="3"/>
      <x:c r="V43" s="3"/>
      <x:c r="W43" s="3"/>
    </x:row>
    <x:row r="44" ht="19" customHeight="1">
      <x:c r="A44" s="2"/>
      <x:c r="B44" s="2"/>
      <x:c r="C44" s="2" t="s">
        <x:v>95</x:v>
      </x:c>
      <x:c r="D44" s="34">
        <x:v>1</x:v>
      </x:c>
      <x:c r="E44" s="3"/>
      <x:c r="F44" s="3"/>
      <x:c r="G44" s="3"/>
      <x:c r="H44" s="3"/>
      <x:c r="I44" s="3"/>
      <x:c r="J44" s="3"/>
      <x:c r="K44" s="3"/>
      <x:c r="L44" s="3"/>
      <x:c r="M44" s="3"/>
      <x:c r="N44" s="3"/>
      <x:c r="O44" s="3"/>
      <x:c r="P44" s="3"/>
      <x:c r="Q44" s="3"/>
      <x:c r="R44" s="3"/>
      <x:c r="S44" s="3"/>
      <x:c r="T44" s="3"/>
      <x:c r="U44" s="3"/>
      <x:c r="V44" s="3"/>
      <x:c r="W44" s="3"/>
    </x:row>
    <x:row r="45" ht="19" customHeight="1">
      <x:c r="A45" s="2"/>
      <x:c r="B45" s="2"/>
      <x:c r="C45" s="2" t="s">
        <x:v>96</x:v>
      </x:c>
      <x:c r="D45" s="34">
        <x:v>0.5</x:v>
      </x:c>
      <x:c r="E45" s="3"/>
      <x:c r="F45" s="3"/>
      <x:c r="G45" s="3"/>
      <x:c r="H45" s="3"/>
      <x:c r="I45" s="3"/>
      <x:c r="J45" s="3"/>
      <x:c r="K45" s="3"/>
      <x:c r="L45" s="3"/>
      <x:c r="M45" s="3"/>
      <x:c r="N45" s="3"/>
      <x:c r="O45" s="3"/>
      <x:c r="P45" s="3"/>
      <x:c r="Q45" s="3"/>
      <x:c r="R45" s="3"/>
      <x:c r="S45" s="3"/>
      <x:c r="T45" s="3"/>
      <x:c r="U45" s="3"/>
      <x:c r="V45" s="3"/>
      <x:c r="W45" s="3"/>
    </x:row>
    <x:row r="46" ht="19" customHeight="1">
      <x:c r="A46" s="2"/>
      <x:c r="B46" s="2"/>
      <x:c r="C46" s="2" t="s">
        <x:v>97</x:v>
      </x:c>
      <x:c r="D46" s="34">
        <x:v>1.5</x:v>
      </x:c>
      <x:c r="E46" s="3"/>
      <x:c r="F46" s="3"/>
      <x:c r="G46" s="3"/>
      <x:c r="H46" s="3"/>
      <x:c r="I46" s="3"/>
      <x:c r="J46" s="3"/>
      <x:c r="K46" s="3"/>
      <x:c r="L46" s="3"/>
      <x:c r="M46" s="3"/>
      <x:c r="N46" s="3"/>
      <x:c r="O46" s="3"/>
      <x:c r="P46" s="3"/>
      <x:c r="Q46" s="3"/>
      <x:c r="R46" s="3"/>
      <x:c r="S46" s="3"/>
      <x:c r="T46" s="3"/>
      <x:c r="U46" s="3"/>
      <x:c r="V46" s="3"/>
      <x:c r="W46" s="3"/>
    </x:row>
    <x:row r="47" ht="19" customHeight="1">
      <x:c r="A47" s="2"/>
      <x:c r="B47" s="2"/>
      <x:c r="C47" s="2"/>
      <x:c r="D47" s="3"/>
      <x:c r="E47" s="3"/>
      <x:c r="F47" s="3"/>
      <x:c r="G47" s="3"/>
      <x:c r="H47" s="3"/>
      <x:c r="I47" s="3"/>
      <x:c r="J47" s="3"/>
      <x:c r="K47" s="3"/>
      <x:c r="L47" s="3"/>
      <x:c r="M47" s="3"/>
      <x:c r="N47" s="3"/>
      <x:c r="O47" s="3"/>
      <x:c r="P47" s="3"/>
      <x:c r="Q47" s="3"/>
      <x:c r="R47" s="3"/>
      <x:c r="S47" s="3"/>
      <x:c r="T47" s="3"/>
      <x:c r="U47" s="3"/>
      <x:c r="V47" s="3"/>
      <x:c r="W47" s="3"/>
    </x:row>
    <x:row r="48" ht="19" customHeight="1">
      <x:c r="A48" s="2"/>
      <x:c r="B48" s="2"/>
      <x:c r="C48" s="2" t="s">
        <x:v>98</x:v>
      </x:c>
      <x:c r="D48" s="33">
        <x:v>0.25</x:v>
      </x:c>
      <x:c r="E48" s="3"/>
      <x:c r="F48" s="3"/>
      <x:c r="G48" s="3"/>
      <x:c r="H48" s="3"/>
      <x:c r="I48" s="3"/>
      <x:c r="J48" s="3"/>
      <x:c r="K48" s="3"/>
      <x:c r="L48" s="3"/>
      <x:c r="M48" s="3"/>
      <x:c r="N48" s="3"/>
      <x:c r="O48" s="3"/>
      <x:c r="P48" s="3"/>
      <x:c r="Q48" s="3"/>
      <x:c r="R48" s="3"/>
      <x:c r="S48" s="3"/>
      <x:c r="T48" s="3"/>
      <x:c r="U48" s="3"/>
      <x:c r="V48" s="3"/>
      <x:c r="W48" s="3"/>
    </x:row>
    <x:row r="49" ht="19" customHeight="1">
      <x:c r="A49" s="2"/>
      <x:c r="B49" s="2"/>
      <x:c r="C49" s="2" t="s">
        <x:v>99</x:v>
      </x:c>
      <x:c r="D49" s="35">
        <x:v>1000</x:v>
      </x:c>
      <x:c r="E49" s="3"/>
      <x:c r="F49" s="3"/>
      <x:c r="G49" s="3"/>
      <x:c r="H49" s="3"/>
      <x:c r="I49" s="3"/>
      <x:c r="J49" s="3"/>
      <x:c r="K49" s="3"/>
      <x:c r="L49" s="3"/>
      <x:c r="M49" s="3"/>
      <x:c r="N49" s="3"/>
      <x:c r="O49" s="3"/>
      <x:c r="P49" s="3"/>
      <x:c r="Q49" s="3"/>
      <x:c r="R49" s="3"/>
      <x:c r="S49" s="3"/>
      <x:c r="T49" s="3"/>
      <x:c r="U49" s="3"/>
      <x:c r="V49" s="3"/>
      <x:c r="W49" s="3"/>
    </x:row>
    <x:row r="50" ht="19" customHeight="1">
      <x:c r="A50" s="2"/>
      <x:c r="B50" s="2"/>
      <x:c r="C50" s="2" t="s">
        <x:v>100</x:v>
      </x:c>
      <x:c r="D50" s="24" t="n">
        <x:f>Disclosures!I45</x:f>
        <x:v>56</x:v>
      </x:c>
      <x:c r="E50" s="3"/>
      <x:c r="F50" s="3"/>
      <x:c r="G50" s="3"/>
      <x:c r="H50" s="3"/>
      <x:c r="I50" s="3"/>
      <x:c r="J50" s="3"/>
      <x:c r="K50" s="3"/>
      <x:c r="L50" s="3"/>
      <x:c r="M50" s="3"/>
      <x:c r="N50" s="3"/>
      <x:c r="O50" s="3"/>
      <x:c r="P50" s="3"/>
      <x:c r="Q50" s="3"/>
      <x:c r="R50" s="3"/>
      <x:c r="S50" s="3"/>
      <x:c r="T50" s="3"/>
      <x:c r="U50" s="3"/>
      <x:c r="V50" s="3"/>
      <x:c r="W50" s="3"/>
    </x:row>
    <x:row r="51" ht="19" customHeight="1">
      <x:c r="A51" s="2"/>
      <x:c r="B51" s="2"/>
      <x:c r="C51" s="2" t="s">
        <x:v>101</x:v>
      </x:c>
      <x:c r="D51" s="18" t="n">
        <x:f>(Disclosures!I28-Disclosures!I27)/Disclosures!I22</x:f>
        <x:v>0.19220055710306408</x:v>
      </x:c>
      <x:c r="E51" s="3"/>
      <x:c r="F51" s="3"/>
      <x:c r="G51" s="3"/>
      <x:c r="H51" s="3"/>
      <x:c r="I51" s="3"/>
      <x:c r="J51" s="3"/>
      <x:c r="K51" s="3"/>
      <x:c r="L51" s="3"/>
      <x:c r="M51" s="3"/>
      <x:c r="N51" s="3"/>
      <x:c r="O51" s="3"/>
      <x:c r="P51" s="3"/>
      <x:c r="Q51" s="3"/>
      <x:c r="R51" s="3"/>
      <x:c r="S51" s="3"/>
      <x:c r="T51" s="3"/>
      <x:c r="U51" s="3"/>
      <x:c r="V51" s="3"/>
      <x:c r="W51" s="3"/>
    </x:row>
    <x:row r="52" ht="19" customHeight="1">
      <x:c r="A52" s="2"/>
      <x:c r="B52" s="2"/>
      <x:c r="C52" s="2" t="s">
        <x:v>102</x:v>
      </x:c>
      <x:c r="D52" s="18" t="n">
        <x:f>Disclosures!I29/SUM(Disclosures!I23,Disclosures!I24)</x:f>
        <x:v>0.6081504702194357</x:v>
      </x:c>
      <x:c r="E52" s="3"/>
      <x:c r="F52" s="3"/>
      <x:c r="G52" s="3"/>
      <x:c r="H52" s="3"/>
      <x:c r="I52" s="3"/>
      <x:c r="J52" s="3"/>
      <x:c r="K52" s="3"/>
      <x:c r="L52" s="3"/>
      <x:c r="M52" s="3"/>
      <x:c r="N52" s="3"/>
      <x:c r="O52" s="3"/>
      <x:c r="P52" s="3"/>
      <x:c r="Q52" s="3"/>
      <x:c r="R52" s="3"/>
      <x:c r="S52" s="3"/>
      <x:c r="T52" s="3"/>
      <x:c r="U52" s="3"/>
      <x:c r="V52" s="3"/>
      <x:c r="W52" s="3"/>
    </x:row>
    <x:row r="53" ht="19" customHeight="1">
      <x:c r="A53" s="2"/>
      <x:c r="B53" s="2"/>
      <x:c r="C53" s="2" t="s">
        <x:v>103</x:v>
      </x:c>
      <x:c r="D53" s="24" t="n">
        <x:f>Disclosures!I26/AVERAGE('Fee engine'!L18:O18)/$D$49*$D$60</x:f>
        <x:v>3.753695847795346</x:v>
      </x:c>
      <x:c r="E53" s="3"/>
      <x:c r="F53" s="3"/>
      <x:c r="G53" s="3"/>
      <x:c r="H53" s="3"/>
      <x:c r="I53" s="3"/>
      <x:c r="J53" s="3"/>
      <x:c r="K53" s="3"/>
      <x:c r="L53" s="3"/>
      <x:c r="M53" s="3"/>
      <x:c r="N53" s="3"/>
      <x:c r="O53" s="3"/>
      <x:c r="P53" s="3"/>
      <x:c r="Q53" s="3"/>
      <x:c r="R53" s="3"/>
      <x:c r="S53" s="3"/>
      <x:c r="T53" s="3"/>
      <x:c r="U53" s="3"/>
      <x:c r="V53" s="3"/>
      <x:c r="W53" s="3"/>
    </x:row>
    <x:row r="54" ht="19" customHeight="1">
      <x:c r="A54" s="2"/>
      <x:c r="B54" s="2"/>
      <x:c r="C54" s="2" t="s">
        <x:v>104</x:v>
      </x:c>
      <x:c r="D54" s="7" t="n">
        <x:f>Disclosures!I27*$D$48</x:f>
        <x:v>68.5</x:v>
      </x:c>
      <x:c r="E54" s="3"/>
      <x:c r="F54" s="3"/>
      <x:c r="G54" s="3"/>
      <x:c r="H54" s="3"/>
      <x:c r="I54" s="3"/>
      <x:c r="J54" s="3"/>
      <x:c r="K54" s="3"/>
      <x:c r="L54" s="3"/>
      <x:c r="M54" s="3"/>
      <x:c r="N54" s="3"/>
      <x:c r="O54" s="3"/>
      <x:c r="P54" s="3"/>
      <x:c r="Q54" s="3"/>
      <x:c r="R54" s="3"/>
      <x:c r="S54" s="3"/>
      <x:c r="T54" s="3"/>
      <x:c r="U54" s="3"/>
      <x:c r="V54" s="3"/>
      <x:c r="W54" s="3"/>
    </x:row>
    <x:row r="55" ht="19" customHeight="1">
      <x:c r="A55" s="2"/>
      <x:c r="B55" s="2"/>
      <x:c r="C55" s="2" t="s">
        <x:v>105</x:v>
      </x:c>
      <x:c r="D55" s="7" t="n">
        <x:f>Disclosures!I30*$D$48</x:f>
        <x:v>53.75</x:v>
      </x:c>
      <x:c r="E55" s="3"/>
      <x:c r="F55" s="3"/>
      <x:c r="G55" s="3"/>
      <x:c r="H55" s="3"/>
      <x:c r="I55" s="3"/>
      <x:c r="J55" s="3"/>
      <x:c r="K55" s="3"/>
      <x:c r="L55" s="3"/>
      <x:c r="M55" s="3"/>
      <x:c r="N55" s="3"/>
      <x:c r="O55" s="3"/>
      <x:c r="P55" s="3"/>
      <x:c r="Q55" s="3"/>
      <x:c r="R55" s="3"/>
      <x:c r="S55" s="3"/>
      <x:c r="T55" s="3"/>
      <x:c r="U55" s="3"/>
      <x:c r="V55" s="3"/>
      <x:c r="W55" s="3"/>
    </x:row>
    <x:row r="56" ht="19" customHeight="1">
      <x:c r="A56" s="2"/>
      <x:c r="B56" s="2"/>
      <x:c r="C56" s="2" t="s">
        <x:v>106</x:v>
      </x:c>
      <x:c r="D56" s="18" t="n">
        <x:f>Disclosures!I39/Disclosures!I38</x:f>
        <x:v>0.2113022113022113</x:v>
      </x:c>
      <x:c r="E56" s="3"/>
      <x:c r="F56" s="3"/>
      <x:c r="G56" s="3"/>
      <x:c r="H56" s="3"/>
      <x:c r="I56" s="3"/>
      <x:c r="J56" s="3"/>
      <x:c r="K56" s="3"/>
      <x:c r="L56" s="3"/>
      <x:c r="M56" s="3"/>
      <x:c r="N56" s="3"/>
      <x:c r="O56" s="3"/>
      <x:c r="P56" s="3"/>
      <x:c r="Q56" s="3"/>
      <x:c r="R56" s="3"/>
      <x:c r="S56" s="3"/>
      <x:c r="T56" s="3"/>
      <x:c r="U56" s="3"/>
      <x:c r="V56" s="3"/>
      <x:c r="W56" s="3"/>
    </x:row>
    <x:row r="57" ht="19" customHeight="1">
      <x:c r="A57" s="2"/>
      <x:c r="B57" s="2"/>
      <x:c r="C57" s="2" t="s">
        <x:v>107</x:v>
      </x:c>
      <x:c r="D57" s="36" t="n">
        <x:f>Disclosures!I41</x:f>
        <x:v>1164.877368</x:v>
      </x:c>
      <x:c r="E57" s="3"/>
      <x:c r="F57" s="3"/>
      <x:c r="G57" s="3"/>
      <x:c r="H57" s="3"/>
      <x:c r="I57" s="3"/>
      <x:c r="J57" s="3"/>
      <x:c r="K57" s="3"/>
      <x:c r="L57" s="3"/>
      <x:c r="M57" s="3"/>
      <x:c r="N57" s="3"/>
      <x:c r="O57" s="3"/>
      <x:c r="P57" s="3"/>
      <x:c r="Q57" s="3"/>
      <x:c r="R57" s="3"/>
      <x:c r="S57" s="3"/>
      <x:c r="T57" s="3"/>
      <x:c r="U57" s="3"/>
      <x:c r="V57" s="3"/>
      <x:c r="W57" s="3"/>
    </x:row>
    <x:row r="58" ht="19" customHeight="1">
      <x:c r="A58" s="2"/>
      <x:c r="B58" s="2"/>
      <x:c r="C58" s="2" t="s">
        <x:v>108</x:v>
      </x:c>
      <x:c r="D58" s="7" t="n">
        <x:f>Disclosures!I24*$D$48</x:f>
        <x:v>9.5</x:v>
      </x:c>
      <x:c r="E58" s="3"/>
      <x:c r="F58" s="3"/>
      <x:c r="G58" s="3"/>
      <x:c r="H58" s="3"/>
      <x:c r="I58" s="3"/>
      <x:c r="J58" s="3"/>
      <x:c r="K58" s="3"/>
      <x:c r="L58" s="3"/>
      <x:c r="M58" s="3"/>
      <x:c r="N58" s="3"/>
      <x:c r="O58" s="3"/>
      <x:c r="P58" s="3"/>
      <x:c r="Q58" s="3"/>
      <x:c r="R58" s="3"/>
      <x:c r="S58" s="3"/>
      <x:c r="T58" s="3"/>
      <x:c r="U58" s="3"/>
      <x:c r="V58" s="3"/>
      <x:c r="W58" s="3"/>
    </x:row>
    <x:row r="59" ht="19" customHeight="1">
      <x:c r="A59" s="2"/>
      <x:c r="B59" s="2"/>
      <x:c r="C59" s="2" t="s">
        <x:v>109</x:v>
      </x:c>
      <x:c r="D59" s="7" t="n">
        <x:f>Disclosures!I25*$D$48</x:f>
        <x:v>0.5</x:v>
      </x:c>
      <x:c r="E59" s="3"/>
      <x:c r="F59" s="3"/>
      <x:c r="G59" s="3"/>
      <x:c r="H59" s="3"/>
      <x:c r="I59" s="3"/>
      <x:c r="J59" s="3"/>
      <x:c r="K59" s="3"/>
      <x:c r="L59" s="3"/>
      <x:c r="M59" s="3"/>
      <x:c r="N59" s="3"/>
      <x:c r="O59" s="3"/>
      <x:c r="P59" s="3"/>
      <x:c r="Q59" s="3"/>
      <x:c r="R59" s="3"/>
      <x:c r="S59" s="3"/>
      <x:c r="T59" s="3"/>
      <x:c r="U59" s="3"/>
      <x:c r="V59" s="3"/>
      <x:c r="W59" s="3"/>
    </x:row>
    <x:row r="60" ht="19" customHeight="1">
      <x:c r="A60" s="2"/>
      <x:c r="B60" s="2"/>
      <x:c r="C60" s="2" t="s">
        <x:v>110</x:v>
      </x:c>
      <x:c r="D60" s="35">
        <x:v>10000</x:v>
      </x:c>
      <x:c r="E60" s="3"/>
      <x:c r="F60" s="3"/>
      <x:c r="G60" s="3"/>
      <x:c r="H60" s="3"/>
      <x:c r="I60" s="3"/>
      <x:c r="J60" s="3"/>
      <x:c r="K60" s="3"/>
      <x:c r="L60" s="3"/>
      <x:c r="M60" s="3"/>
      <x:c r="N60" s="3"/>
      <x:c r="O60" s="3"/>
      <x:c r="P60" s="3"/>
      <x:c r="Q60" s="3"/>
      <x:c r="R60" s="3"/>
      <x:c r="S60" s="3"/>
      <x:c r="T60" s="3"/>
      <x:c r="U60" s="3"/>
      <x:c r="V60" s="3"/>
      <x:c r="W60" s="3"/>
    </x:row>
    <x:row r="61" ht="19" customHeight="1">
      <x:c r="A61" s="2"/>
      <x:c r="B61" s="2"/>
      <x:c r="C61" s="2" t="s">
        <x:v>111</x:v>
      </x:c>
      <x:c r="D61" s="35">
        <x:v>100</x:v>
      </x:c>
      <x:c r="E61" s="3"/>
      <x:c r="F61" s="3"/>
      <x:c r="G61" s="3"/>
      <x:c r="H61" s="3"/>
      <x:c r="I61" s="3"/>
      <x:c r="J61" s="3"/>
      <x:c r="K61" s="3"/>
      <x:c r="L61" s="3"/>
      <x:c r="M61" s="3"/>
      <x:c r="N61" s="3"/>
      <x:c r="O61" s="3"/>
      <x:c r="P61" s="3"/>
      <x:c r="Q61" s="3"/>
      <x:c r="R61" s="3"/>
      <x:c r="S61" s="3"/>
      <x:c r="T61" s="3"/>
      <x:c r="U61" s="3"/>
      <x:c r="V61" s="3"/>
      <x:c r="W61" s="3"/>
    </x:row>
    <x:row r="62" ht="19" customHeight="1">
      <x:c r="A62" s="2"/>
      <x:c r="B62" s="2"/>
      <x:c r="C62" s="2" t="s">
        <x:v>112</x:v>
      </x:c>
      <x:c r="D62" s="7" t="n">
        <x:f>Disclosures!I31*$D$48</x:f>
        <x:v>1.75</x:v>
      </x:c>
      <x:c r="E62" s="3"/>
      <x:c r="F62" s="3"/>
      <x:c r="G62" s="3"/>
      <x:c r="H62" s="3"/>
      <x:c r="I62" s="3"/>
      <x:c r="J62" s="3"/>
      <x:c r="K62" s="3"/>
      <x:c r="L62" s="3"/>
      <x:c r="M62" s="3"/>
      <x:c r="N62" s="3"/>
      <x:c r="O62" s="3"/>
      <x:c r="P62" s="3"/>
      <x:c r="Q62" s="3"/>
      <x:c r="R62" s="3"/>
      <x:c r="S62" s="3"/>
      <x:c r="T62" s="3"/>
      <x:c r="U62" s="3"/>
      <x:c r="V62" s="3"/>
      <x:c r="W62" s="3"/>
    </x:row>
    <x:row r="63" ht="19" customHeight="1">
      <x:c r="A63" s="2"/>
      <x:c r="B63" s="2"/>
      <x:c r="C63" s="2" t="s">
        <x:v>113</x:v>
      </x:c>
      <x:c r="D63" s="7" t="n">
        <x:f>Disclosures!I32*$D$48</x:f>
        <x:v>1.75</x:v>
      </x:c>
      <x:c r="E63" s="3"/>
      <x:c r="F63" s="3"/>
      <x:c r="G63" s="3"/>
      <x:c r="H63" s="3"/>
      <x:c r="I63" s="3"/>
      <x:c r="J63" s="3"/>
      <x:c r="K63" s="3"/>
      <x:c r="L63" s="3"/>
      <x:c r="M63" s="3"/>
      <x:c r="N63" s="3"/>
      <x:c r="O63" s="3"/>
      <x:c r="P63" s="3"/>
      <x:c r="Q63" s="3"/>
      <x:c r="R63" s="3"/>
      <x:c r="S63" s="3"/>
      <x:c r="T63" s="3"/>
      <x:c r="U63" s="3"/>
      <x:c r="V63" s="3"/>
      <x:c r="W63" s="3"/>
    </x:row>
    <x:row r="64" ht="19" customHeight="1">
      <x:c r="A64" s="2"/>
      <x:c r="B64" s="2"/>
      <x:c r="C64" s="2" t="s">
        <x:v>114</x:v>
      </x:c>
      <x:c r="D64" s="7" t="n">
        <x:f>Disclosures!I33*$D$48</x:f>
        <x:v>2.75</x:v>
      </x:c>
      <x:c r="E64" s="3"/>
      <x:c r="F64" s="3"/>
      <x:c r="G64" s="3"/>
      <x:c r="H64" s="3"/>
      <x:c r="I64" s="3"/>
      <x:c r="J64" s="3"/>
      <x:c r="K64" s="3"/>
      <x:c r="L64" s="3"/>
      <x:c r="M64" s="3"/>
      <x:c r="N64" s="3"/>
      <x:c r="O64" s="3"/>
      <x:c r="P64" s="3"/>
      <x:c r="Q64" s="3"/>
      <x:c r="R64" s="3"/>
      <x:c r="S64" s="3"/>
      <x:c r="T64" s="3"/>
      <x:c r="U64" s="3"/>
      <x:c r="V64" s="3"/>
      <x:c r="W64" s="3"/>
    </x:row>
    <x:row r="65" ht="19" customHeight="1">
      <x:c r="A65" s="2"/>
      <x:c r="B65" s="2"/>
      <x:c r="C65" s="2" t="s">
        <x:v>115</x:v>
      </x:c>
      <x:c r="D65" s="7" t="n">
        <x:f>Disclosures!I34*$D$48</x:f>
        <x:v>0.5</x:v>
      </x:c>
      <x:c r="E65" s="3"/>
      <x:c r="F65" s="3"/>
      <x:c r="G65" s="3"/>
      <x:c r="H65" s="3"/>
      <x:c r="I65" s="3"/>
      <x:c r="J65" s="3"/>
      <x:c r="K65" s="3"/>
      <x:c r="L65" s="3"/>
      <x:c r="M65" s="3"/>
      <x:c r="N65" s="3"/>
      <x:c r="O65" s="3"/>
      <x:c r="P65" s="3"/>
      <x:c r="Q65" s="3"/>
      <x:c r="R65" s="3"/>
      <x:c r="S65" s="3"/>
      <x:c r="T65" s="3"/>
      <x:c r="U65" s="3"/>
      <x:c r="V65" s="3"/>
      <x:c r="W65" s="3"/>
    </x:row>
    <x:row r="66" ht="19" customHeight="1">
      <x:c r="A66" s="2"/>
      <x:c r="B66" s="2"/>
      <x:c r="C66" s="2" t="s">
        <x:v>116</x:v>
      </x:c>
      <x:c r="D66" s="18" t="n">
        <x:f>Disclosures!I35/Disclosures!I23</x:f>
        <x:v>0.0035587188612099642</x:v>
      </x:c>
      <x:c r="E66" s="3"/>
      <x:c r="F66" s="3"/>
      <x:c r="G66" s="3"/>
      <x:c r="H66" s="3"/>
      <x:c r="I66" s="3"/>
      <x:c r="J66" s="3"/>
      <x:c r="K66" s="3"/>
      <x:c r="L66" s="3"/>
      <x:c r="M66" s="3"/>
      <x:c r="N66" s="3"/>
      <x:c r="O66" s="3"/>
      <x:c r="P66" s="3"/>
      <x:c r="Q66" s="3"/>
      <x:c r="R66" s="3"/>
      <x:c r="S66" s="3"/>
      <x:c r="T66" s="3"/>
      <x:c r="U66" s="3"/>
      <x:c r="V66" s="3"/>
      <x:c r="W66" s="3"/>
    </x:row>
    <x:row r="67" ht="19" customHeight="1">
      <x:c r="A67" s="2"/>
      <x:c r="B67" s="2"/>
      <x:c r="C67" s="2" t="s">
        <x:v>117</x:v>
      </x:c>
      <x:c r="D67" s="13">
        <x:v>0</x:v>
      </x:c>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2"/>
      <x:c r="D69" s="3"/>
      <x:c r="E69" s="3"/>
      <x:c r="F69" s="3"/>
      <x:c r="G69" s="3"/>
      <x:c r="H69" s="3"/>
      <x:c r="I69" s="3"/>
      <x:c r="J69" s="3"/>
      <x:c r="K69" s="3"/>
      <x:c r="L69" s="3"/>
      <x:c r="M69" s="3"/>
      <x:c r="N69" s="3"/>
      <x:c r="O69" s="3"/>
      <x:c r="P69" s="3"/>
      <x:c r="Q69" s="3"/>
      <x:c r="R69" s="3"/>
      <x:c r="S69" s="3"/>
      <x:c r="T69" s="3"/>
      <x:c r="U69" s="3"/>
      <x:c r="V69" s="3"/>
      <x:c r="W69" s="3"/>
    </x:row>
    <x:row r="70" ht="19" customHeight="1">
      <x:c r="A70" s="2"/>
      <x:c r="B70" s="2"/>
      <x:c r="C70" s="2"/>
      <x:c r="D70" s="3"/>
      <x:c r="E70" s="3"/>
      <x:c r="F70" s="3"/>
      <x:c r="G70" s="3"/>
      <x:c r="H70" s="3"/>
      <x:c r="I70" s="3"/>
      <x:c r="J70" s="3"/>
      <x:c r="K70" s="3"/>
      <x:c r="L70" s="3"/>
      <x:c r="M70" s="3"/>
      <x:c r="N70" s="3"/>
      <x:c r="O70" s="3"/>
      <x:c r="P70" s="3"/>
      <x:c r="Q70" s="3"/>
      <x:c r="R70" s="3"/>
      <x:c r="S70" s="3"/>
      <x:c r="T70" s="3"/>
      <x:c r="U70" s="3"/>
      <x:c r="V70" s="3"/>
      <x:c r="W70" s="3"/>
    </x:row>
    <x:row r="71" ht="19" customHeight="1">
      <x:c r="A71" s="2"/>
      <x:c r="B71" s="2"/>
      <x:c r="C71" s="2"/>
      <x:c r="D71" s="3"/>
      <x:c r="E71" s="3"/>
      <x:c r="F71" s="3"/>
      <x:c r="G71" s="3"/>
      <x:c r="H71" s="3"/>
      <x:c r="I71" s="3"/>
      <x:c r="J71" s="3"/>
      <x:c r="K71" s="3"/>
      <x:c r="L71" s="3"/>
      <x:c r="M71" s="3"/>
      <x:c r="N71" s="3"/>
      <x:c r="O71" s="3"/>
      <x:c r="P71" s="3"/>
      <x:c r="Q71" s="3"/>
      <x:c r="R71" s="3"/>
      <x:c r="S71" s="3"/>
      <x:c r="T71" s="3"/>
      <x:c r="U71" s="3"/>
      <x:c r="V71" s="3"/>
      <x:c r="W71" s="3"/>
    </x:row>
    <x:row r="72" ht="19" customHeight="1">
      <x:c r="A72" s="2"/>
      <x:c r="B72" s="2"/>
      <x:c r="C72" s="2"/>
      <x:c r="D72" s="3"/>
      <x:c r="E72" s="3"/>
      <x:c r="F72" s="3"/>
      <x:c r="G72" s="3"/>
      <x:c r="H72" s="3"/>
      <x:c r="I72" s="3"/>
      <x:c r="J72" s="3"/>
      <x:c r="K72" s="3"/>
      <x:c r="L72" s="3"/>
      <x:c r="M72" s="3"/>
      <x:c r="N72" s="3"/>
      <x:c r="O72" s="3"/>
      <x:c r="P72" s="3"/>
      <x:c r="Q72" s="3"/>
      <x:c r="R72" s="3"/>
      <x:c r="S72" s="3"/>
      <x:c r="T72" s="3"/>
      <x:c r="U72" s="3"/>
      <x:c r="V72" s="3"/>
      <x:c r="W72" s="3"/>
    </x:row>
    <x:row r="73" ht="19" customHeight="1">
      <x:c r="A73" s="2"/>
      <x:c r="B73" s="2"/>
      <x:c r="C73" s="2"/>
      <x:c r="D73" s="3"/>
      <x:c r="E73" s="3"/>
      <x:c r="F73" s="3"/>
      <x:c r="G73" s="3"/>
      <x:c r="H73" s="3"/>
      <x:c r="I73" s="3"/>
      <x:c r="J73" s="3"/>
      <x:c r="K73" s="3"/>
      <x:c r="L73" s="3"/>
      <x:c r="M73" s="3"/>
      <x:c r="N73" s="3"/>
      <x:c r="O73" s="3"/>
      <x:c r="P73" s="3"/>
      <x:c r="Q73" s="3"/>
      <x:c r="R73" s="3"/>
      <x:c r="S73" s="3"/>
      <x:c r="T73" s="3"/>
      <x:c r="U73" s="3"/>
      <x:c r="V73" s="3"/>
      <x:c r="W73" s="3"/>
    </x:row>
    <x:row r="74" ht="19" customHeight="1">
      <x:c r="A74" s="2"/>
      <x:c r="B74" s="2"/>
      <x:c r="C74" s="2"/>
      <x:c r="D74" s="3"/>
      <x:c r="E74" s="3"/>
      <x:c r="F74" s="3"/>
      <x:c r="G74" s="3"/>
      <x:c r="H74" s="3"/>
      <x:c r="I74" s="3"/>
      <x:c r="J74" s="3"/>
      <x:c r="K74" s="3"/>
      <x:c r="L74" s="3"/>
      <x:c r="M74" s="3"/>
      <x:c r="N74" s="3"/>
      <x:c r="O74" s="3"/>
      <x:c r="P74" s="3"/>
      <x:c r="Q74" s="3"/>
      <x:c r="R74" s="3"/>
      <x:c r="S74" s="3"/>
      <x:c r="T74" s="3"/>
      <x:c r="U74" s="3"/>
      <x:c r="V74" s="3"/>
      <x:c r="W74" s="3"/>
    </x:row>
    <x:row r="75" ht="19" customHeight="1">
      <x:c r="A75" s="2"/>
      <x:c r="B75" s="2"/>
      <x:c r="C75" s="2"/>
      <x:c r="D75" s="3"/>
      <x:c r="E75" s="3"/>
      <x:c r="F75" s="3"/>
      <x:c r="G75" s="3"/>
      <x:c r="H75" s="3"/>
      <x:c r="I75" s="3"/>
      <x:c r="J75" s="3"/>
      <x:c r="K75" s="3"/>
      <x:c r="L75" s="3"/>
      <x:c r="M75" s="3"/>
      <x:c r="N75" s="3"/>
      <x:c r="O75" s="3"/>
      <x:c r="P75" s="3"/>
      <x:c r="Q75" s="3"/>
      <x:c r="R75" s="3"/>
      <x:c r="S75" s="3"/>
      <x:c r="T75" s="3"/>
      <x:c r="U75" s="3"/>
      <x:c r="V75" s="3"/>
      <x:c r="W75" s="3"/>
    </x:row>
    <x:row r="76" ht="19" customHeight="1">
      <x:c r="A76" s="2"/>
      <x:c r="B76" s="2"/>
      <x:c r="C76" s="2"/>
      <x:c r="D76" s="3"/>
      <x:c r="E76" s="3"/>
      <x:c r="F76" s="3"/>
      <x:c r="G76" s="3"/>
      <x:c r="H76" s="3"/>
      <x:c r="I76" s="3"/>
      <x:c r="J76" s="3"/>
      <x:c r="K76" s="3"/>
      <x:c r="L76" s="3"/>
      <x:c r="M76" s="3"/>
      <x:c r="N76" s="3"/>
      <x:c r="O76" s="3"/>
      <x:c r="P76" s="3"/>
      <x:c r="Q76" s="3"/>
      <x:c r="R76" s="3"/>
      <x:c r="S76" s="3"/>
      <x:c r="T76" s="3"/>
      <x:c r="U76" s="3"/>
      <x:c r="V76" s="3"/>
      <x:c r="W76" s="3"/>
    </x:row>
    <x:row r="77" ht="19" customHeight="1">
      <x:c r="A77" s="2"/>
      <x:c r="B77" s="2"/>
      <x:c r="C77" s="2"/>
      <x:c r="D77" s="3"/>
      <x:c r="E77" s="3"/>
      <x:c r="F77" s="3"/>
      <x:c r="G77" s="3"/>
      <x:c r="H77" s="3"/>
      <x:c r="I77" s="3"/>
      <x:c r="J77" s="3"/>
      <x:c r="K77" s="3"/>
      <x:c r="L77" s="3"/>
      <x:c r="M77" s="3"/>
      <x:c r="N77" s="3"/>
      <x:c r="O77" s="3"/>
      <x:c r="P77" s="3"/>
      <x:c r="Q77" s="3"/>
      <x:c r="R77" s="3"/>
      <x:c r="S77" s="3"/>
      <x:c r="T77" s="3"/>
      <x:c r="U77" s="3"/>
      <x:c r="V77" s="3"/>
      <x:c r="W77" s="3"/>
    </x:row>
    <x:row r="78" ht="19" customHeight="1">
      <x:c r="A78" s="2"/>
      <x:c r="B78" s="2"/>
      <x:c r="C78" s="2"/>
      <x:c r="D78" s="3"/>
      <x:c r="E78" s="3"/>
      <x:c r="F78" s="3"/>
      <x:c r="G78" s="3"/>
      <x:c r="H78" s="3"/>
      <x:c r="I78" s="3"/>
      <x:c r="J78" s="3"/>
      <x:c r="K78" s="3"/>
      <x:c r="L78" s="3"/>
      <x:c r="M78" s="3"/>
      <x:c r="N78" s="3"/>
      <x:c r="O78" s="3"/>
      <x:c r="P78" s="3"/>
      <x:c r="Q78" s="3"/>
      <x:c r="R78" s="3"/>
      <x:c r="S78" s="3"/>
      <x:c r="T78" s="3"/>
      <x:c r="U78" s="3"/>
      <x:c r="V78" s="3"/>
      <x:c r="W78" s="3"/>
    </x:row>
    <x:row r="79" ht="19" customHeight="1">
      <x:c r="A79" s="2"/>
      <x:c r="B79" s="2"/>
      <x:c r="C79" s="2"/>
      <x:c r="D79" s="3"/>
      <x:c r="E79" s="3"/>
      <x:c r="F79" s="3"/>
      <x:c r="G79" s="3"/>
      <x:c r="H79" s="3"/>
      <x:c r="I79" s="3"/>
      <x:c r="J79" s="3"/>
      <x:c r="K79" s="3"/>
      <x:c r="L79" s="3"/>
      <x:c r="M79" s="3"/>
      <x:c r="N79" s="3"/>
      <x:c r="O79" s="3"/>
      <x:c r="P79" s="3"/>
      <x:c r="Q79" s="3"/>
      <x:c r="R79" s="3"/>
      <x:c r="S79" s="3"/>
      <x:c r="T79" s="3"/>
      <x:c r="U79" s="3"/>
      <x:c r="V79" s="3"/>
      <x:c r="W79" s="3"/>
    </x:row>
    <x:row r="80" ht="19" customHeight="1">
      <x:c r="A80" s="2"/>
      <x:c r="B80" s="2"/>
      <x:c r="C80" s="2"/>
      <x:c r="D80" s="3"/>
      <x:c r="E80" s="3"/>
      <x:c r="F80" s="3"/>
      <x:c r="G80" s="3"/>
      <x:c r="H80" s="3"/>
      <x:c r="I80" s="3"/>
      <x:c r="J80" s="3"/>
      <x:c r="K80" s="3"/>
      <x:c r="L80" s="3"/>
      <x:c r="M80" s="3"/>
      <x:c r="N80" s="3"/>
      <x:c r="O80" s="3"/>
      <x:c r="P80" s="3"/>
      <x:c r="Q80" s="3"/>
      <x:c r="R80" s="3"/>
      <x:c r="S80" s="3"/>
      <x:c r="T80" s="3"/>
      <x:c r="U80" s="3"/>
      <x:c r="V80" s="3"/>
      <x:c r="W80" s="3"/>
    </x:row>
    <x:row r="81" ht="19" customHeight="1">
      <x:c r="A81" s="2"/>
      <x:c r="B81" s="2"/>
      <x:c r="C81" s="2"/>
      <x:c r="D81" s="3"/>
      <x:c r="E81" s="3"/>
      <x:c r="F81" s="3"/>
      <x:c r="G81" s="3"/>
      <x:c r="H81" s="3"/>
      <x:c r="I81" s="3"/>
      <x:c r="J81" s="3"/>
      <x:c r="K81" s="3"/>
      <x:c r="L81" s="3"/>
      <x:c r="M81" s="3"/>
      <x:c r="N81" s="3"/>
      <x:c r="O81" s="3"/>
      <x:c r="P81" s="3"/>
      <x:c r="Q81" s="3"/>
      <x:c r="R81" s="3"/>
      <x:c r="S81" s="3"/>
      <x:c r="T81" s="3"/>
      <x:c r="U81" s="3"/>
      <x:c r="V81" s="3"/>
      <x:c r="W81" s="3"/>
    </x:row>
    <x:row r="82" ht="19" customHeight="1">
      <x:c r="A82" s="2"/>
      <x:c r="B82" s="2"/>
      <x:c r="C82" s="2"/>
      <x:c r="D82" s="3"/>
      <x:c r="E82" s="3"/>
      <x:c r="F82" s="3"/>
      <x:c r="G82" s="3"/>
      <x:c r="H82" s="3"/>
      <x:c r="I82" s="3"/>
      <x:c r="J82" s="3"/>
      <x:c r="K82" s="3"/>
      <x:c r="L82" s="3"/>
      <x:c r="M82" s="3"/>
      <x:c r="N82" s="3"/>
      <x:c r="O82" s="3"/>
      <x:c r="P82" s="3"/>
      <x:c r="Q82" s="3"/>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2"/>
      <x:c r="D85" s="3"/>
      <x:c r="E85" s="3"/>
      <x:c r="F85" s="3"/>
      <x:c r="G85" s="3"/>
      <x:c r="H85" s="3"/>
      <x:c r="I85" s="3"/>
      <x:c r="J85" s="3"/>
      <x:c r="K85" s="3"/>
      <x:c r="L85" s="3"/>
      <x:c r="M85" s="3"/>
      <x:c r="N85" s="3"/>
      <x:c r="O85" s="3"/>
      <x:c r="P85" s="3"/>
      <x:c r="Q85" s="3"/>
      <x:c r="R85" s="3"/>
      <x:c r="S85" s="3"/>
      <x:c r="T85" s="3"/>
      <x:c r="U85" s="3"/>
      <x:c r="V85" s="3"/>
      <x:c r="W85" s="3"/>
    </x:row>
    <x:row r="86" ht="19" customHeight="1">
      <x:c r="A86" s="2"/>
      <x:c r="B86" s="2"/>
      <x:c r="C86" s="2"/>
      <x:c r="D86" s="3"/>
      <x:c r="E86" s="3"/>
      <x:c r="F86" s="3"/>
      <x:c r="G86" s="3"/>
      <x:c r="H86" s="3"/>
      <x:c r="I86" s="3"/>
      <x:c r="J86" s="3"/>
      <x:c r="K86" s="3"/>
      <x:c r="L86" s="3"/>
      <x:c r="M86" s="3"/>
      <x:c r="N86" s="3"/>
      <x:c r="O86" s="3"/>
      <x:c r="P86" s="3"/>
      <x:c r="Q86" s="3"/>
      <x:c r="R86" s="3"/>
      <x:c r="S86" s="3"/>
      <x:c r="T86" s="3"/>
      <x:c r="U86" s="3"/>
      <x:c r="V86" s="3"/>
      <x:c r="W86" s="3"/>
    </x:row>
    <x:row r="87" ht="19" customHeight="1">
      <x:c r="A87" s="2"/>
      <x:c r="B87" s="2"/>
      <x:c r="C87" s="2"/>
      <x:c r="D87" s="3"/>
      <x:c r="E87" s="3"/>
      <x:c r="F87" s="3"/>
      <x:c r="G87" s="3"/>
      <x:c r="H87" s="3"/>
      <x:c r="I87" s="3"/>
      <x:c r="J87" s="3"/>
      <x:c r="K87" s="3"/>
      <x:c r="L87" s="3"/>
      <x:c r="M87" s="3"/>
      <x:c r="N87" s="3"/>
      <x:c r="O87" s="3"/>
      <x:c r="P87" s="3"/>
      <x:c r="Q87" s="3"/>
      <x:c r="R87" s="3"/>
      <x:c r="S87" s="3"/>
      <x:c r="T87" s="3"/>
      <x:c r="U87" s="3"/>
      <x:c r="V87" s="3"/>
      <x:c r="W87" s="3"/>
    </x:row>
    <x:row r="88" ht="19" customHeight="1">
      <x:c r="A88" s="2"/>
      <x:c r="B88" s="2"/>
      <x:c r="C88" s="2"/>
      <x:c r="D88" s="3"/>
      <x:c r="E88" s="3"/>
      <x:c r="F88" s="3"/>
      <x:c r="G88" s="3"/>
      <x:c r="H88" s="3"/>
      <x:c r="I88" s="3"/>
      <x:c r="J88" s="3"/>
      <x:c r="K88" s="3"/>
      <x:c r="L88" s="3"/>
      <x:c r="M88" s="3"/>
      <x:c r="N88" s="3"/>
      <x:c r="O88" s="3"/>
      <x:c r="P88" s="3"/>
      <x:c r="Q88" s="3"/>
      <x:c r="R88" s="3"/>
      <x:c r="S88" s="3"/>
      <x:c r="T88" s="3"/>
      <x:c r="U88" s="3"/>
      <x:c r="V88" s="3"/>
      <x:c r="W88" s="3"/>
    </x:row>
    <x:row r="89" ht="19" customHeight="1">
      <x:c r="A89" s="2"/>
      <x:c r="B89" s="2"/>
      <x:c r="C89" s="2"/>
      <x:c r="D89" s="3"/>
      <x:c r="E89" s="3"/>
      <x:c r="F89" s="3"/>
      <x:c r="G89" s="3"/>
      <x:c r="H89" s="3"/>
      <x:c r="I89" s="3"/>
      <x:c r="J89" s="3"/>
      <x:c r="K89" s="3"/>
      <x:c r="L89" s="3"/>
      <x:c r="M89" s="3"/>
      <x:c r="N89" s="3"/>
      <x:c r="O89" s="3"/>
      <x:c r="P89" s="3"/>
      <x:c r="Q89" s="3"/>
      <x:c r="R89" s="3"/>
      <x:c r="S89" s="3"/>
      <x:c r="T89" s="3"/>
      <x:c r="U89" s="3"/>
      <x:c r="V89" s="3"/>
      <x:c r="W89" s="3"/>
    </x:row>
    <x:row r="90" ht="19" customHeight="1">
      <x:c r="A90" s="2"/>
      <x:c r="B90" s="2"/>
      <x:c r="C90" s="2"/>
      <x:c r="D90" s="3"/>
      <x:c r="E90" s="3"/>
      <x:c r="F90" s="3"/>
      <x:c r="G90" s="3"/>
      <x:c r="H90" s="3"/>
      <x:c r="I90" s="3"/>
      <x:c r="J90" s="3"/>
      <x:c r="K90" s="3"/>
      <x:c r="L90" s="3"/>
      <x:c r="M90" s="3"/>
      <x:c r="N90" s="3"/>
      <x:c r="O90" s="3"/>
      <x:c r="P90" s="3"/>
      <x:c r="Q90" s="3"/>
      <x:c r="R90" s="3"/>
      <x:c r="S90" s="3"/>
      <x:c r="T90" s="3"/>
      <x:c r="U90" s="3"/>
      <x:c r="V90" s="3"/>
      <x:c r="W90" s="3"/>
    </x:row>
    <x:row r="91" ht="19" customHeight="1">
      <x:c r="A91" s="2"/>
      <x:c r="B91" s="2"/>
      <x:c r="C91" s="2"/>
      <x:c r="D91" s="3"/>
      <x:c r="E91" s="3"/>
      <x:c r="F91" s="3"/>
      <x:c r="G91" s="3"/>
      <x:c r="H91" s="3"/>
      <x:c r="I91" s="3"/>
      <x:c r="J91" s="3"/>
      <x:c r="K91" s="3"/>
      <x:c r="L91" s="3"/>
      <x:c r="M91" s="3"/>
      <x:c r="N91" s="3"/>
      <x:c r="O91" s="3"/>
      <x:c r="P91" s="3"/>
      <x:c r="Q91" s="3"/>
      <x:c r="R91" s="3"/>
      <x:c r="S91" s="3"/>
      <x:c r="T91" s="3"/>
      <x:c r="U91" s="3"/>
      <x:c r="V91" s="3"/>
      <x:c r="W91" s="3"/>
    </x:row>
    <x:row r="92" ht="19" customHeight="1">
      <x:c r="A92" s="2"/>
      <x:c r="B92" s="2"/>
      <x:c r="C92" s="2"/>
      <x:c r="D92" s="3"/>
      <x:c r="E92" s="3"/>
      <x:c r="F92" s="3"/>
      <x:c r="G92" s="3"/>
      <x:c r="H92" s="3"/>
      <x:c r="I92" s="3"/>
      <x:c r="J92" s="3"/>
      <x:c r="K92" s="3"/>
      <x:c r="L92" s="3"/>
      <x:c r="M92" s="3"/>
      <x:c r="N92" s="3"/>
      <x:c r="O92" s="3"/>
      <x:c r="P92" s="3"/>
      <x:c r="Q92" s="3"/>
      <x:c r="R92" s="3"/>
      <x:c r="S92" s="3"/>
      <x:c r="T92" s="3"/>
      <x:c r="U92" s="3"/>
      <x:c r="V92" s="3"/>
      <x:c r="W92" s="3"/>
    </x:row>
    <x:row r="93" ht="19" customHeight="1">
      <x:c r="A93" s="2"/>
      <x:c r="B93" s="2"/>
      <x:c r="C93" s="2"/>
      <x:c r="D93" s="3"/>
      <x:c r="E93" s="3"/>
      <x:c r="F93" s="3"/>
      <x:c r="G93" s="3"/>
      <x:c r="H93" s="3"/>
      <x:c r="I93" s="3"/>
      <x:c r="J93" s="3"/>
      <x:c r="K93" s="3"/>
      <x:c r="L93" s="3"/>
      <x:c r="M93" s="3"/>
      <x:c r="N93" s="3"/>
      <x:c r="O93" s="3"/>
      <x:c r="P93" s="3"/>
      <x:c r="Q93" s="3"/>
      <x:c r="R93" s="3"/>
      <x:c r="S93" s="3"/>
      <x:c r="T93" s="3"/>
      <x:c r="U93" s="3"/>
      <x:c r="V93" s="3"/>
      <x:c r="W93" s="3"/>
    </x:row>
    <x:row r="94" ht="19" customHeight="1">
      <x:c r="A94" s="2"/>
      <x:c r="B94" s="2"/>
      <x:c r="C94" s="2"/>
      <x:c r="D94" s="3"/>
      <x:c r="E94" s="3"/>
      <x:c r="F94" s="3"/>
      <x:c r="G94" s="3"/>
      <x:c r="H94" s="3"/>
      <x:c r="I94" s="3"/>
      <x:c r="J94" s="3"/>
      <x:c r="K94" s="3"/>
      <x:c r="L94" s="3"/>
      <x:c r="M94" s="3"/>
      <x:c r="N94" s="3"/>
      <x:c r="O94" s="3"/>
      <x:c r="P94" s="3"/>
      <x:c r="Q94" s="3"/>
      <x:c r="R94" s="3"/>
      <x:c r="S94" s="3"/>
      <x:c r="T94" s="3"/>
      <x:c r="U94" s="3"/>
      <x:c r="V94" s="3"/>
      <x:c r="W94" s="3"/>
    </x:row>
    <x:row r="95" ht="19" customHeight="1">
      <x:c r="A95" s="2"/>
      <x:c r="B95" s="2"/>
      <x:c r="C95" s="2"/>
      <x:c r="D95" s="3"/>
      <x:c r="E95" s="3"/>
      <x:c r="F95" s="3"/>
      <x:c r="G95" s="3"/>
      <x:c r="H95" s="3"/>
      <x:c r="I95" s="3"/>
      <x:c r="J95" s="3"/>
      <x:c r="K95" s="3"/>
      <x:c r="L95" s="3"/>
      <x:c r="M95" s="3"/>
      <x:c r="N95" s="3"/>
      <x:c r="O95" s="3"/>
      <x:c r="P95" s="3"/>
      <x:c r="Q95" s="3"/>
      <x:c r="R95" s="3"/>
      <x:c r="S95" s="3"/>
      <x:c r="T95" s="3"/>
      <x:c r="U95" s="3"/>
      <x:c r="V95" s="3"/>
      <x:c r="W95" s="3"/>
    </x:row>
    <x:row r="96" ht="19" customHeight="1">
      <x:c r="A96" s="2"/>
      <x:c r="B96" s="2"/>
      <x:c r="C96" s="2"/>
      <x:c r="D96" s="3"/>
      <x:c r="E96" s="3"/>
      <x:c r="F96" s="3"/>
      <x:c r="G96" s="3"/>
      <x:c r="H96" s="3"/>
      <x:c r="I96" s="3"/>
      <x:c r="J96" s="3"/>
      <x:c r="K96" s="3"/>
      <x:c r="L96" s="3"/>
      <x:c r="M96" s="3"/>
      <x:c r="N96" s="3"/>
      <x:c r="O96" s="3"/>
      <x:c r="P96" s="3"/>
      <x:c r="Q96" s="3"/>
      <x:c r="R96" s="3"/>
      <x:c r="S96" s="3"/>
      <x:c r="T96" s="3"/>
      <x:c r="U96" s="3"/>
      <x:c r="V96" s="3"/>
      <x:c r="W96" s="3"/>
    </x:row>
    <x:row r="97" ht="19" customHeight="1">
      <x:c r="A97" s="2"/>
      <x:c r="B97" s="2"/>
      <x:c r="C97" s="2"/>
      <x:c r="D97" s="3"/>
      <x:c r="E97" s="3"/>
      <x:c r="F97" s="3"/>
      <x:c r="G97" s="3"/>
      <x:c r="H97" s="3"/>
      <x:c r="I97" s="3"/>
      <x:c r="J97" s="3"/>
      <x:c r="K97" s="3"/>
      <x:c r="L97" s="3"/>
      <x:c r="M97" s="3"/>
      <x:c r="N97" s="3"/>
      <x:c r="O97" s="3"/>
      <x:c r="P97" s="3"/>
      <x:c r="Q97" s="3"/>
      <x:c r="R97" s="3"/>
      <x:c r="S97" s="3"/>
      <x:c r="T97" s="3"/>
      <x:c r="U97" s="3"/>
      <x:c r="V97" s="3"/>
      <x:c r="W97" s="3"/>
    </x:row>
    <x:row r="98" ht="19" customHeight="1">
      <x:c r="A98" s="2"/>
      <x:c r="B98" s="2"/>
      <x:c r="C98" s="2"/>
      <x:c r="D98" s="3"/>
      <x:c r="E98" s="3"/>
      <x:c r="F98" s="3"/>
      <x:c r="G98" s="3"/>
      <x:c r="H98" s="3"/>
      <x:c r="I98" s="3"/>
      <x:c r="J98" s="3"/>
      <x:c r="K98" s="3"/>
      <x:c r="L98" s="3"/>
      <x:c r="M98" s="3"/>
      <x:c r="N98" s="3"/>
      <x:c r="O98" s="3"/>
      <x:c r="P98" s="3"/>
      <x:c r="Q98" s="3"/>
      <x:c r="R98" s="3"/>
      <x:c r="S98" s="3"/>
      <x:c r="T98" s="3"/>
      <x:c r="U98" s="3"/>
      <x:c r="V98" s="3"/>
      <x:c r="W98" s="3"/>
    </x:row>
    <x:row r="99" ht="19" customHeight="1">
      <x:c r="A99" s="2"/>
      <x:c r="B99" s="2"/>
      <x:c r="C99" s="2"/>
      <x:c r="D99" s="3"/>
      <x:c r="E99" s="3"/>
      <x:c r="F99" s="3"/>
      <x:c r="G99" s="3"/>
      <x:c r="H99" s="3"/>
      <x:c r="I99" s="3"/>
      <x:c r="J99" s="3"/>
      <x:c r="K99" s="3"/>
      <x:c r="L99" s="3"/>
      <x:c r="M99" s="3"/>
      <x:c r="N99" s="3"/>
      <x:c r="O99" s="3"/>
      <x:c r="P99" s="3"/>
      <x:c r="Q99" s="3"/>
      <x:c r="R99" s="3"/>
      <x:c r="S99" s="3"/>
      <x:c r="T99" s="3"/>
      <x:c r="U99" s="3"/>
      <x:c r="V99" s="3"/>
      <x:c r="W99" s="3"/>
    </x:row>
    <x:row r="100" ht="19" customHeight="1">
      <x:c r="A100" s="2"/>
      <x:c r="B100" s="2"/>
      <x:c r="C100" s="2"/>
      <x:c r="D100" s="3"/>
      <x:c r="E100" s="3"/>
      <x:c r="F100" s="3"/>
      <x:c r="G100" s="3"/>
      <x:c r="H100" s="3"/>
      <x:c r="I100" s="3"/>
      <x:c r="J100" s="3"/>
      <x:c r="K100" s="3"/>
      <x:c r="L100" s="3"/>
      <x:c r="M100" s="3"/>
      <x:c r="N100" s="3"/>
      <x:c r="O100" s="3"/>
      <x:c r="P100" s="3"/>
      <x:c r="Q100" s="3"/>
      <x:c r="R100" s="3"/>
      <x:c r="S100" s="3"/>
      <x:c r="T100" s="3"/>
      <x:c r="U100" s="3"/>
      <x:c r="V100" s="3"/>
      <x:c r="W100" s="3"/>
    </x:row>
  </x:sheetData>
  <x:dataValidations count="1">
    <x:dataValidation type="whole" sqref="D4">
      <x:formula1>1</x:formula1>
      <x:formula2>4</x:formula2>
    </x:dataValidation>
  </x:dataValidations>
  <x:pageMargins left="0.7" right="0.7" top="0.75" bottom="0.75" header="0.3" footer="0.3"/>
  <x:drawing xmlns:r="http://schemas.openxmlformats.org/officeDocument/2006/relationships" r:id="Rb112360860784f07"/>
  <x:legacyDrawing xmlns:r="http://schemas.openxmlformats.org/officeDocument/2006/relationships" r:id="Rcb74876a51084898"/>
</x:worksheet>
</file>

<file path=xl/worksheets/sheet3.xml><?xml version="1.0" encoding="utf-8"?>
<x:worksheet xmlns:x="http://schemas.openxmlformats.org/spreadsheetml/2006/main">
  <x:sheetPr>
    <x:tabColor rgb="FF487A98"/>
  </x:sheetPr>
  <x:sheetViews>
    <x:sheetView showGridLines="0" workbookViewId="0">
      <x:pane xSplit="3" ySplit="8" topLeftCell="D9" activePane="bottomRight" state="frozen"/>
    </x:sheetView>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118</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t="s">
        <x:v>119</x:v>
      </x:c>
      <x:c r="D5" s="3"/>
      <x:c r="E5" s="3"/>
      <x:c r="F5" s="3"/>
      <x:c r="G5" s="3"/>
      <x:c r="H5" s="3"/>
      <x:c r="I5" s="3"/>
      <x:c r="J5" s="3"/>
      <x:c r="K5" s="3"/>
      <x:c r="L5" s="3"/>
      <x:c r="M5" s="3"/>
      <x:c r="N5" s="3"/>
      <x:c r="O5" s="3"/>
      <x:c r="P5" s="3"/>
      <x:c r="Q5" s="3"/>
      <x:c r="R5" s="3"/>
      <x:c r="S5" s="3"/>
      <x:c r="T5" s="3"/>
      <x:c r="U5" s="3"/>
      <x:c r="V5" s="3"/>
      <x:c r="W5" s="3"/>
    </x:row>
    <x:row r="6" ht="19" customHeight="1">
      <x:c r="A6" s="2"/>
      <x:c r="B6" s="2"/>
      <x:c r="C6" s="2"/>
      <x:c r="D6" s="37">
        <x:v>45016</x:v>
      </x:c>
      <x:c r="E6" s="37">
        <x:v>45107</x:v>
      </x:c>
      <x:c r="F6" s="37">
        <x:v>45199</x:v>
      </x:c>
      <x:c r="G6" s="37">
        <x:v>45291</x:v>
      </x:c>
      <x:c r="H6" s="37">
        <x:v>45382</x:v>
      </x:c>
      <x:c r="I6" s="37">
        <x:v>45473</x:v>
      </x:c>
      <x:c r="J6" s="37">
        <x:v>45565</x:v>
      </x:c>
      <x:c r="K6" s="37">
        <x:v>45657</x:v>
      </x:c>
      <x:c r="L6" s="37">
        <x:v>45747</x:v>
      </x:c>
      <x:c r="M6" s="37">
        <x:v>45838</x:v>
      </x:c>
      <x:c r="N6" s="37">
        <x:v>45930</x:v>
      </x:c>
      <x:c r="O6" s="37">
        <x:v>46022</x:v>
      </x:c>
      <x:c r="P6" s="37">
        <x:v>46112</x:v>
      </x:c>
      <x:c r="Q6" s="37">
        <x:v>46203</x:v>
      </x:c>
      <x:c r="R6" s="37">
        <x:v>46295</x:v>
      </x:c>
      <x:c r="S6" s="37">
        <x:v>46387</x:v>
      </x:c>
      <x:c r="T6" s="37">
        <x:v>46477</x:v>
      </x:c>
      <x:c r="U6" s="37">
        <x:v>46568</x:v>
      </x:c>
      <x:c r="V6" s="37">
        <x:v>46660</x:v>
      </x:c>
      <x:c r="W6" s="37">
        <x:v>46752</x:v>
      </x:c>
    </x:row>
    <x:row r="7" ht="19" customHeight="1">
      <x:c r="A7" s="2"/>
      <x:c r="B7" s="2"/>
      <x:c r="C7" s="2"/>
      <x:c r="D7" s="58" t="s">
        <x:v>62</x:v>
      </x:c>
      <x:c r="E7" s="58" t="s">
        <x:v>63</x:v>
      </x:c>
      <x:c r="F7" s="58" t="s">
        <x:v>64</x:v>
      </x:c>
      <x:c r="G7" s="58" t="s">
        <x:v>65</x:v>
      </x:c>
      <x:c r="H7" s="58" t="s">
        <x:v>66</x:v>
      </x:c>
      <x:c r="I7" s="58" t="s">
        <x:v>67</x:v>
      </x:c>
      <x:c r="J7" s="58" t="s">
        <x:v>68</x:v>
      </x:c>
      <x:c r="K7" s="58" t="s">
        <x:v>69</x:v>
      </x:c>
      <x:c r="L7" s="58" t="s">
        <x:v>70</x:v>
      </x:c>
      <x:c r="M7" s="58" t="s">
        <x:v>71</x:v>
      </x:c>
      <x:c r="N7" s="58" t="s">
        <x:v>72</x:v>
      </x:c>
      <x:c r="O7" s="58" t="s">
        <x:v>73</x:v>
      </x:c>
      <x:c r="P7" s="58" t="s">
        <x:v>74</x:v>
      </x:c>
      <x:c r="Q7" s="58" t="s">
        <x:v>75</x:v>
      </x:c>
      <x:c r="R7" s="58" t="s">
        <x:v>76</x:v>
      </x:c>
      <x:c r="S7" s="58" t="s">
        <x:v>77</x:v>
      </x:c>
      <x:c r="T7" s="58" t="s">
        <x:v>78</x:v>
      </x:c>
      <x:c r="U7" s="58" t="s">
        <x:v>79</x:v>
      </x:c>
      <x:c r="V7" s="58" t="s">
        <x:v>80</x:v>
      </x:c>
      <x:c r="W7" s="58" t="s">
        <x:v>81</x:v>
      </x:c>
    </x:row>
    <x:row r="8" ht="19" customHeight="1">
      <x:c r="A8" s="2"/>
      <x:c r="B8" s="2"/>
      <x:c r="C8" s="2"/>
      <x:c r="D8" s="60" t="s">
        <x:v>120</x:v>
      </x:c>
      <x:c r="E8" s="60" t="s">
        <x:v>120</x:v>
      </x:c>
      <x:c r="F8" s="60" t="s">
        <x:v>120</x:v>
      </x:c>
      <x:c r="G8" s="60" t="s">
        <x:v>120</x:v>
      </x:c>
      <x:c r="H8" s="60" t="s">
        <x:v>120</x:v>
      </x:c>
      <x:c r="I8" s="60" t="s">
        <x:v>120</x:v>
      </x:c>
      <x:c r="J8" s="60" t="s">
        <x:v>120</x:v>
      </x:c>
      <x:c r="K8" s="60" t="s">
        <x:v>120</x:v>
      </x:c>
      <x:c r="L8" s="60" t="s">
        <x:v>120</x:v>
      </x:c>
      <x:c r="M8" s="60" t="s">
        <x:v>120</x:v>
      </x:c>
      <x:c r="N8" s="60" t="s">
        <x:v>120</x:v>
      </x:c>
      <x:c r="O8" s="60" t="s">
        <x:v>120</x:v>
      </x:c>
      <x:c r="P8" s="60" t="s">
        <x:v>120</x:v>
      </x:c>
      <x:c r="Q8" s="60" t="s">
        <x:v>120</x:v>
      </x:c>
      <x:c r="R8" s="61" t="s">
        <x:v>15</x:v>
      </x:c>
      <x:c r="S8" s="61" t="s">
        <x:v>15</x:v>
      </x:c>
      <x:c r="T8" s="61" t="s">
        <x:v>15</x:v>
      </x:c>
      <x:c r="U8" s="61" t="s">
        <x:v>15</x:v>
      </x:c>
      <x:c r="V8" s="61" t="s">
        <x:v>15</x:v>
      </x:c>
      <x:c r="W8" s="61" t="s">
        <x:v>15</x:v>
      </x:c>
    </x:row>
    <x:row r="9" ht="19" customHeight="1">
      <x:c r="A9" s="2"/>
      <x:c r="B9" s="2"/>
      <x:c r="C9" s="11" t="s">
        <x:v>121</x:v>
      </x:c>
      <x:c r="D9" s="12"/>
      <x:c r="E9" s="12"/>
      <x:c r="F9" s="12"/>
      <x:c r="G9" s="12"/>
      <x:c r="H9" s="12"/>
      <x:c r="I9" s="12"/>
      <x:c r="J9" s="12"/>
      <x:c r="K9" s="12"/>
      <x:c r="L9" s="12"/>
      <x:c r="M9" s="12"/>
      <x:c r="N9" s="12"/>
      <x:c r="O9" s="12"/>
      <x:c r="P9" s="12"/>
      <x:c r="Q9" s="12"/>
      <x:c r="R9" s="38"/>
      <x:c r="S9" s="38"/>
      <x:c r="T9" s="38"/>
      <x:c r="U9" s="38"/>
      <x:c r="V9" s="38"/>
      <x:c r="W9" s="38"/>
    </x:row>
    <x:row r="10" ht="19" customHeight="1">
      <x:c r="A10" s="2"/>
      <x:c r="B10" s="2"/>
      <x:c r="C10" s="2" t="s">
        <x:v>122</x:v>
      </x:c>
      <x:c r="D10" s="7" t="n">
        <x:f>Disclosures!D9</x:f>
        <x:v>143.3</x:v>
      </x:c>
      <x:c r="E10" s="3" t="n">
        <x:f t="shared" ref="E10:W10" si="0">D17</x:f>
        <x:v>144.7</x:v>
      </x:c>
      <x:c r="F10" s="3">
        <x:f t="shared" si="0"/>
        <x:v>151.69999999999999</x:v>
      </x:c>
      <x:c r="G10" s="3">
        <x:f t="shared" si="0"/>
        <x:v>161.19999999999999</x:v>
      </x:c>
      <x:c r="H10" s="3">
        <x:f t="shared" si="0"/>
        <x:v>167.49999999999997</x:v>
      </x:c>
      <x:c r="I10" s="3">
        <x:f t="shared" si="0"/>
        <x:v>175.7</x:v>
      </x:c>
      <x:c r="J10" s="3">
        <x:f t="shared" si="0"/>
        <x:v>178.20000000000002</x:v>
      </x:c>
      <x:c r="K10" s="3">
        <x:f t="shared" si="0"/>
        <x:v>174.9</x:v>
      </x:c>
      <x:c r="L10" s="3">
        <x:f t="shared" si="0"/>
        <x:v>168.60000000000002</x:v>
      </x:c>
      <x:c r="M10" s="3">
        <x:f t="shared" si="0"/>
        <x:v>172.60000000000002</x:v>
      </x:c>
      <x:c r="N10" s="3">
        <x:f t="shared" si="0"/>
        <x:v>193.3</x:v>
      </x:c>
      <x:c r="O10" s="3">
        <x:f t="shared" si="0"/>
        <x:v>213.9</x:v>
      </x:c>
      <x:c r="P10" s="3">
        <x:f t="shared" si="0"/>
        <x:v>227.6</x:v>
      </x:c>
      <x:c r="Q10" s="3">
        <x:f t="shared" si="0"/>
        <x:v>228.7</x:v>
      </x:c>
      <x:c r="R10" s="39">
        <x:f t="shared" si="0"/>
        <x:v>253.59999999999997</x:v>
      </x:c>
      <x:c r="S10" s="39">
        <x:f t="shared" si="0"/>
        <x:v>259.93999999999994</x:v>
      </x:c>
      <x:c r="T10" s="39">
        <x:f t="shared" si="0"/>
        <x:v>266.43849999999992</x:v>
      </x:c>
      <x:c r="U10" s="39">
        <x:f t="shared" si="0"/>
        <x:v>273.0994624999999</x:v>
      </x:c>
      <x:c r="V10" s="39">
        <x:f t="shared" si="0"/>
        <x:v>279.92694906249989</x:v>
      </x:c>
      <x:c r="W10" s="39">
        <x:f t="shared" si="0"/>
        <x:v>286.92512278906241</x:v>
      </x:c>
    </x:row>
    <x:row r="11" ht="19" customHeight="1">
      <x:c r="A11" s="2"/>
      <x:c r="B11" s="2"/>
      <x:c r="C11" s="2" t="s">
        <x:v>123</x:v>
      </x:c>
      <x:c r="D11" s="7" t="n">
        <x:f>Disclosures!D10</x:f>
        <x:v>1.1</x:v>
      </x:c>
      <x:c r="E11" s="7" t="n">
        <x:f>Disclosures!E10</x:f>
        <x:v>1.5</x:v>
      </x:c>
      <x:c r="F11" s="7" t="n">
        <x:f>Disclosures!F10</x:f>
        <x:v>0.7</x:v>
      </x:c>
      <x:c r="G11" s="7" t="n">
        <x:f>Disclosures!G10</x:f>
        <x:v>-0.3</x:v>
      </x:c>
      <x:c r="H11" s="7" t="n">
        <x:f>Disclosures!H10</x:f>
        <x:v>-1.6</x:v>
      </x:c>
      <x:c r="I11" s="7" t="n">
        <x:f>Disclosures!I10</x:f>
        <x:v>2.5</x:v>
      </x:c>
      <x:c r="J11" s="7" t="n">
        <x:f>Disclosures!J10</x:f>
        <x:v>-5.5</x:v>
      </x:c>
      <x:c r="K11" s="7" t="n">
        <x:f>Disclosures!K10</x:f>
        <x:v>1.3</x:v>
      </x:c>
      <x:c r="L11" s="7" t="n">
        <x:f>Disclosures!L10</x:f>
        <x:v>3.6</x:v>
      </x:c>
      <x:c r="M11" s="7" t="n">
        <x:f>Disclosures!M10</x:f>
        <x:v>14</x:v>
      </x:c>
      <x:c r="N11" s="7" t="n">
        <x:f>Disclosures!N10</x:f>
        <x:v>9.7</x:v>
      </x:c>
      <x:c r="O11" s="7" t="n">
        <x:f>Disclosures!O10</x:f>
        <x:v>1.4</x:v>
      </x:c>
      <x:c r="P11" s="7" t="n">
        <x:f>Disclosures!P10</x:f>
        <x:v>-1.6</x:v>
      </x:c>
      <x:c r="Q11" s="7" t="n">
        <x:f>Disclosures!Q10</x:f>
        <x:v>8.7</x:v>
      </x:c>
      <x:c r="R11" s="40" t="n">
        <x:f>R10*Assumptions!R11</x:f>
        <x:v>2.5359999999999996</x:v>
      </x:c>
      <x:c r="S11" s="40" t="n">
        <x:f>S10*Assumptions!S11</x:f>
        <x:v>2.5993999999999993</x:v>
      </x:c>
      <x:c r="T11" s="40" t="n">
        <x:f>T10*Assumptions!T11</x:f>
        <x:v>2.6643849999999993</x:v>
      </x:c>
      <x:c r="U11" s="40" t="n">
        <x:f>U10*Assumptions!U11</x:f>
        <x:v>2.7309946249999992</x:v>
      </x:c>
      <x:c r="V11" s="40" t="n">
        <x:f>V10*Assumptions!V11</x:f>
        <x:v>2.799269490624999</x:v>
      </x:c>
      <x:c r="W11" s="40" t="n">
        <x:f>W10*Assumptions!W11</x:f>
        <x:v>2.8692512278906244</x:v>
      </x:c>
    </x:row>
    <x:row r="12" ht="19" customHeight="1">
      <x:c r="A12" s="2"/>
      <x:c r="B12" s="2"/>
      <x:c r="C12" s="2" t="s">
        <x:v>124</x:v>
      </x:c>
      <x:c r="D12" s="7" t="n">
        <x:f>Disclosures!D11</x:f>
        <x:v>0.7</x:v>
      </x:c>
      <x:c r="E12" s="7" t="n">
        <x:f>Disclosures!E11</x:f>
        <x:v>4.4</x:v>
      </x:c>
      <x:c r="F12" s="7" t="n">
        <x:f>Disclosures!F11</x:f>
        <x:v>0.1</x:v>
      </x:c>
      <x:c r="G12" s="7" t="n">
        <x:f>Disclosures!G11</x:f>
        <x:v>4.5</x:v>
      </x:c>
      <x:c r="H12" s="7" t="n">
        <x:f>Disclosures!H11</x:f>
        <x:v>9.8</x:v>
      </x:c>
      <x:c r="I12" s="7" t="n">
        <x:f>Disclosures!I11</x:f>
        <x:v>1.3</x:v>
      </x:c>
      <x:c r="J12" s="7" t="n">
        <x:f>Disclosures!J11</x:f>
        <x:v>0.4</x:v>
      </x:c>
      <x:c r="K12" s="7" t="n">
        <x:f>Disclosures!K11</x:f>
        <x:v>-0.6</x:v>
      </x:c>
      <x:c r="L12" s="7" t="n">
        <x:f>Disclosures!L11</x:f>
        <x:v>-1.1</x:v>
      </x:c>
      <x:c r="M12" s="7" t="n">
        <x:f>Disclosures!M11</x:f>
        <x:v>3.6</x:v>
      </x:c>
      <x:c r="N12" s="7" t="n">
        <x:f>Disclosures!N11</x:f>
        <x:v>10</x:v>
      </x:c>
      <x:c r="O12" s="7" t="n">
        <x:f>Disclosures!O11</x:f>
        <x:v>8.9</x:v>
      </x:c>
      <x:c r="P12" s="7" t="n">
        <x:f>Disclosures!P11</x:f>
        <x:v>3.1</x:v>
      </x:c>
      <x:c r="Q12" s="7" t="n">
        <x:f>Disclosures!Q11</x:f>
        <x:v>16.7</x:v>
      </x:c>
      <x:c r="R12" s="40" t="n">
        <x:f>R10*Assumptions!R18</x:f>
        <x:v>3.8039999999999994</x:v>
      </x:c>
      <x:c r="S12" s="40" t="n">
        <x:f>S10*Assumptions!S18</x:f>
        <x:v>3.899099999999999</x:v>
      </x:c>
      <x:c r="T12" s="40" t="n">
        <x:f>T10*Assumptions!T18</x:f>
        <x:v>3.9965774999999986</x:v>
      </x:c>
      <x:c r="U12" s="40" t="n">
        <x:f>U10*Assumptions!U18</x:f>
        <x:v>4.096491937499998</x:v>
      </x:c>
      <x:c r="V12" s="40" t="n">
        <x:f>V10*Assumptions!V18</x:f>
        <x:v>4.198904235937498</x:v>
      </x:c>
      <x:c r="W12" s="40" t="n">
        <x:f>W10*Assumptions!W18</x:f>
        <x:v>4.303876841835936</x:v>
      </x:c>
    </x:row>
    <x:row r="13" ht="19" customHeight="1">
      <x:c r="A13" s="2"/>
      <x:c r="B13" s="2"/>
      <x:c r="C13" s="2" t="s">
        <x:v>125</x:v>
      </x:c>
      <x:c r="D13" s="3" t="s">
        <x:v>126</x:v>
      </x:c>
      <x:c r="E13" s="3" t="s">
        <x:v>126</x:v>
      </x:c>
      <x:c r="F13" s="3" t="s">
        <x:v>126</x:v>
      </x:c>
      <x:c r="G13" s="3" t="s">
        <x:v>126</x:v>
      </x:c>
      <x:c r="H13" s="7" t="n">
        <x:f>Disclosures!E51*(Disclosures!H12-Disclosures!H14)/(SUM(Disclosures!H12:K12)-SUM(Disclosures!H14:K14))</x:f>
        <x:v>0</x:v>
      </x:c>
      <x:c r="I13" s="7" t="n">
        <x:f>Disclosures!E51*(Disclosures!I12-Disclosures!I14)/(SUM(Disclosures!H12:K12)-SUM(Disclosures!H14:K14))</x:f>
        <x:v>-0.7599999999999999</x:v>
      </x:c>
      <x:c r="J13" s="7" t="n">
        <x:f>Disclosures!E51*(Disclosures!J12-Disclosures!J14)/(SUM(Disclosures!H12:K12)-SUM(Disclosures!H14:K14))</x:f>
        <x:v>1.0523076923076924</x:v>
      </x:c>
      <x:c r="K13" s="7" t="n">
        <x:f>Disclosures!E51*(Disclosures!K12-Disclosures!K14)/(SUM(Disclosures!H12:K12)-SUM(Disclosures!H14:K14))</x:f>
        <x:v>-4.092307692307692</x:v>
      </x:c>
      <x:c r="L13" s="7" t="n">
        <x:f>Disclosures!F51*(Disclosures!L12-Disclosures!L14)/(SUM(Disclosures!L12:O12)-SUM(Disclosures!L14:O14))</x:f>
        <x:v>1.620967741935484</x:v>
      </x:c>
      <x:c r="M13" s="7" t="n">
        <x:f>Disclosures!F51*(Disclosures!M12-Disclosures!M14)/(SUM(Disclosures!L12:O12)-SUM(Disclosures!L14:O14))</x:f>
        <x:v>3.3499999999999996</x:v>
      </x:c>
      <x:c r="N13" s="7" t="n">
        <x:f>Disclosures!F51*(Disclosures!N12-Disclosures!N14)/(SUM(Disclosures!L12:O12)-SUM(Disclosures!L14:O14))</x:f>
        <x:v>0.9725806451612903</x:v>
      </x:c>
      <x:c r="O13" s="7" t="n">
        <x:f>Disclosures!F51*(Disclosures!O12-Disclosures!O14)/(SUM(Disclosures!L12:O12)-SUM(Disclosures!L14:O14))</x:f>
        <x:v>0.7564516129032256</x:v>
      </x:c>
      <x:c r="P13" s="3" t="s">
        <x:v>126</x:v>
      </x:c>
      <x:c r="Q13" s="3" t="s">
        <x:v>126</x:v>
      </x:c>
      <x:c r="R13" s="40" t="n">
        <x:f>Assumptions!$D$67</x:f>
        <x:v>0</x:v>
      </x:c>
      <x:c r="S13" s="40" t="n">
        <x:f>Assumptions!$D$67</x:f>
        <x:v>0</x:v>
      </x:c>
      <x:c r="T13" s="40" t="n">
        <x:f>Assumptions!$D$67</x:f>
        <x:v>0</x:v>
      </x:c>
      <x:c r="U13" s="40" t="n">
        <x:f>Assumptions!$D$67</x:f>
        <x:v>0</x:v>
      </x:c>
      <x:c r="V13" s="40" t="n">
        <x:f>Assumptions!$D$67</x:f>
        <x:v>0</x:v>
      </x:c>
      <x:c r="W13" s="40" t="n">
        <x:f>Assumptions!$D$67</x:f>
        <x:v>0</x:v>
      </x:c>
    </x:row>
    <x:row r="14" ht="19" customHeight="1">
      <x:c r="A14" s="2"/>
      <x:c r="B14" s="2"/>
      <x:c r="C14" s="2" t="s">
        <x:v>127</x:v>
      </x:c>
      <x:c r="D14" s="7" t="n">
        <x:f>Disclosures!D14</x:f>
        <x:v>0</x:v>
      </x:c>
      <x:c r="E14" s="7" t="n">
        <x:f>Disclosures!E14</x:f>
        <x:v>0</x:v>
      </x:c>
      <x:c r="F14" s="7" t="n">
        <x:f>Disclosures!F14</x:f>
        <x:v>10.8</x:v>
      </x:c>
      <x:c r="G14" s="7" t="n">
        <x:f>Disclosures!G14</x:f>
        <x:v>0</x:v>
      </x:c>
      <x:c r="H14" s="7" t="n">
        <x:f>Disclosures!H14</x:f>
        <x:v>0</x:v>
      </x:c>
      <x:c r="I14" s="7" t="n">
        <x:f>Disclosures!I14</x:f>
        <x:v>0</x:v>
      </x:c>
      <x:c r="J14" s="7" t="n">
        <x:f>Disclosures!J14</x:f>
        <x:v>0</x:v>
      </x:c>
      <x:c r="K14" s="7" t="n">
        <x:f>Disclosures!K14</x:f>
        <x:v>0</x:v>
      </x:c>
      <x:c r="L14" s="7" t="n">
        <x:f>Disclosures!L14</x:f>
        <x:v>0</x:v>
      </x:c>
      <x:c r="M14" s="7" t="n">
        <x:f>Disclosures!M14</x:f>
        <x:v>0</x:v>
      </x:c>
      <x:c r="N14" s="7" t="n">
        <x:f>Disclosures!N14</x:f>
        <x:v>0</x:v>
      </x:c>
      <x:c r="O14" s="7" t="n">
        <x:f>Disclosures!O14</x:f>
        <x:v>2.7</x:v>
      </x:c>
      <x:c r="P14" s="7" t="n">
        <x:f>Disclosures!P14</x:f>
        <x:v>0</x:v>
      </x:c>
      <x:c r="Q14" s="7" t="n">
        <x:f>Disclosures!Q14</x:f>
        <x:v>0</x:v>
      </x:c>
      <x:c r="R14" s="40" t="n">
        <x:f>Assumptions!$D$67</x:f>
        <x:v>0</x:v>
      </x:c>
      <x:c r="S14" s="40" t="n">
        <x:f>Assumptions!$D$67</x:f>
        <x:v>0</x:v>
      </x:c>
      <x:c r="T14" s="40" t="n">
        <x:f>Assumptions!$D$67</x:f>
        <x:v>0</x:v>
      </x:c>
      <x:c r="U14" s="40" t="n">
        <x:f>Assumptions!$D$67</x:f>
        <x:v>0</x:v>
      </x:c>
      <x:c r="V14" s="40" t="n">
        <x:f>Assumptions!$D$67</x:f>
        <x:v>0</x:v>
      </x:c>
      <x:c r="W14" s="40" t="n">
        <x:f>Assumptions!$D$67</x:f>
        <x:v>0</x:v>
      </x:c>
    </x:row>
    <x:row r="15" ht="19" customHeight="1">
      <x:c r="A15" s="2"/>
      <x:c r="B15" s="2"/>
      <x:c r="C15" s="2" t="s">
        <x:v>128</x:v>
      </x:c>
      <x:c r="D15" s="3" t="s">
        <x:v>126</x:v>
      </x:c>
      <x:c r="E15" s="3" t="s">
        <x:v>126</x:v>
      </x:c>
      <x:c r="F15" s="3" t="s">
        <x:v>126</x:v>
      </x:c>
      <x:c r="G15" s="3" t="s">
        <x:v>126</x:v>
      </x:c>
      <x:c r="H15" s="7" t="n">
        <x:f>Disclosures!$E$52*Assumptions!$D$48</x:f>
        <x:v>-0.525</x:v>
      </x:c>
      <x:c r="I15" s="7" t="n">
        <x:f>Disclosures!$E$52*Assumptions!$D$48</x:f>
        <x:v>-0.525</x:v>
      </x:c>
      <x:c r="J15" s="7" t="n">
        <x:f>Disclosures!$E$52*Assumptions!$D$48</x:f>
        <x:v>-0.525</x:v>
      </x:c>
      <x:c r="K15" s="7" t="n">
        <x:f>Disclosures!$E$52*Assumptions!$D$48</x:f>
        <x:v>-0.525</x:v>
      </x:c>
      <x:c r="L15" s="3" t="s">
        <x:v>126</x:v>
      </x:c>
      <x:c r="M15" s="3" t="s">
        <x:v>126</x:v>
      </x:c>
      <x:c r="N15" s="3" t="s">
        <x:v>126</x:v>
      </x:c>
      <x:c r="O15" s="3" t="s">
        <x:v>126</x:v>
      </x:c>
      <x:c r="P15" s="3" t="s">
        <x:v>126</x:v>
      </x:c>
      <x:c r="Q15" s="3" t="s">
        <x:v>126</x:v>
      </x:c>
      <x:c r="R15" s="40" t="n">
        <x:f>Assumptions!$D$67</x:f>
        <x:v>0</x:v>
      </x:c>
      <x:c r="S15" s="40" t="n">
        <x:f>Assumptions!$D$67</x:f>
        <x:v>0</x:v>
      </x:c>
      <x:c r="T15" s="40" t="n">
        <x:f>Assumptions!$D$67</x:f>
        <x:v>0</x:v>
      </x:c>
      <x:c r="U15" s="40" t="n">
        <x:f>Assumptions!$D$67</x:f>
        <x:v>0</x:v>
      </x:c>
      <x:c r="V15" s="40" t="n">
        <x:f>Assumptions!$D$67</x:f>
        <x:v>0</x:v>
      </x:c>
      <x:c r="W15" s="40" t="n">
        <x:f>Assumptions!$D$67</x:f>
        <x:v>0</x:v>
      </x:c>
    </x:row>
    <x:row r="16" ht="19" customHeight="1">
      <x:c r="A16" s="2"/>
      <x:c r="B16" s="2"/>
      <x:c r="C16" s="2" t="s">
        <x:v>129</x:v>
      </x:c>
      <x:c r="D16" s="7" t="n">
        <x:f>Disclosures!D12-SUM(D13:D15)</x:f>
        <x:v>-0.4</x:v>
      </x:c>
      <x:c r="E16" s="7" t="n">
        <x:f>Disclosures!E12-SUM(E13:E15)</x:f>
        <x:v>1.1</x:v>
      </x:c>
      <x:c r="F16" s="7" t="n">
        <x:f>Disclosures!F12-SUM(F13:F15)</x:f>
        <x:v>-2.1000000000000014</x:v>
      </x:c>
      <x:c r="G16" s="7" t="n">
        <x:f>Disclosures!G12-SUM(G13:G15)</x:f>
        <x:v>2.1</x:v>
      </x:c>
      <x:c r="H16" s="7" t="n">
        <x:f>Disclosures!H12-SUM(H13:H15)</x:f>
        <x:v>0.525</x:v>
      </x:c>
      <x:c r="I16" s="7" t="n">
        <x:f>Disclosures!I12-SUM(I13:I15)</x:f>
        <x:v>-0.015000000000000124</x:v>
      </x:c>
      <x:c r="J16" s="7" t="n">
        <x:f>Disclosures!J12-SUM(J13:J15)</x:f>
        <x:v>1.2726923076923078</x:v>
      </x:c>
      <x:c r="K16" s="7" t="n">
        <x:f>Disclosures!K12-SUM(K13:K15)</x:f>
        <x:v>-2.3826923076923077</x:v>
      </x:c>
      <x:c r="L16" s="7" t="n">
        <x:f>Disclosures!L12-SUM(L13:L15)</x:f>
        <x:v>-0.12096774193548399</x:v>
      </x:c>
      <x:c r="M16" s="7" t="n">
        <x:f>Disclosures!M12-SUM(M13:M15)</x:f>
        <x:v>-0.24999999999999956</x:v>
      </x:c>
      <x:c r="N16" s="7" t="n">
        <x:f>Disclosures!N12-SUM(N13:N15)</x:f>
        <x:v>-0.07258064516129026</x:v>
      </x:c>
      <x:c r="O16" s="7" t="n">
        <x:f>Disclosures!O12-SUM(O13:O15)</x:f>
        <x:v>-0.05645161290322598</x:v>
      </x:c>
      <x:c r="P16" s="7" t="n">
        <x:f>Disclosures!P12-SUM(P13:P15)</x:f>
        <x:v>-0.4</x:v>
      </x:c>
      <x:c r="Q16" s="7" t="n">
        <x:f>Disclosures!Q12-SUM(Q13:Q15)</x:f>
        <x:v>-0.5</x:v>
      </x:c>
      <x:c r="R16" s="40" t="n">
        <x:f>Assumptions!$D$67</x:f>
        <x:v>0</x:v>
      </x:c>
      <x:c r="S16" s="40" t="n">
        <x:f>Assumptions!$D$67</x:f>
        <x:v>0</x:v>
      </x:c>
      <x:c r="T16" s="40" t="n">
        <x:f>Assumptions!$D$67</x:f>
        <x:v>0</x:v>
      </x:c>
      <x:c r="U16" s="40" t="n">
        <x:f>Assumptions!$D$67</x:f>
        <x:v>0</x:v>
      </x:c>
      <x:c r="V16" s="40" t="n">
        <x:f>Assumptions!$D$67</x:f>
        <x:v>0</x:v>
      </x:c>
      <x:c r="W16" s="40" t="n">
        <x:f>Assumptions!$D$67</x:f>
        <x:v>0</x:v>
      </x:c>
    </x:row>
    <x:row r="17" ht="19" customHeight="1">
      <x:c r="A17" s="2"/>
      <x:c r="B17" s="2"/>
      <x:c r="C17" s="41" t="s">
        <x:v>130</x:v>
      </x:c>
      <x:c r="D17" s="42" t="n">
        <x:f t="shared" ref="D17:W17" si="1">SUM(D10:D16)</x:f>
        <x:v>144.7</x:v>
      </x:c>
      <x:c r="E17" s="42">
        <x:f t="shared" si="1"/>
        <x:v>151.69999999999999</x:v>
      </x:c>
      <x:c r="F17" s="42">
        <x:f t="shared" si="1"/>
        <x:v>161.19999999999999</x:v>
      </x:c>
      <x:c r="G17" s="42">
        <x:f t="shared" si="1"/>
        <x:v>167.49999999999997</x:v>
      </x:c>
      <x:c r="H17" s="42">
        <x:f t="shared" si="1"/>
        <x:v>175.7</x:v>
      </x:c>
      <x:c r="I17" s="42">
        <x:f t="shared" si="1"/>
        <x:v>178.20000000000002</x:v>
      </x:c>
      <x:c r="J17" s="42">
        <x:f t="shared" si="1"/>
        <x:v>174.9</x:v>
      </x:c>
      <x:c r="K17" s="42">
        <x:f t="shared" si="1"/>
        <x:v>168.60000000000002</x:v>
      </x:c>
      <x:c r="L17" s="42">
        <x:f t="shared" si="1"/>
        <x:v>172.60000000000002</x:v>
      </x:c>
      <x:c r="M17" s="42">
        <x:f t="shared" si="1"/>
        <x:v>193.3</x:v>
      </x:c>
      <x:c r="N17" s="42">
        <x:f t="shared" si="1"/>
        <x:v>213.9</x:v>
      </x:c>
      <x:c r="O17" s="42">
        <x:f t="shared" si="1"/>
        <x:v>227.6</x:v>
      </x:c>
      <x:c r="P17" s="42">
        <x:f t="shared" si="1"/>
        <x:v>228.7</x:v>
      </x:c>
      <x:c r="Q17" s="42">
        <x:f t="shared" si="1"/>
        <x:v>253.59999999999997</x:v>
      </x:c>
      <x:c r="R17" s="43">
        <x:f t="shared" si="1"/>
        <x:v>259.93999999999994</x:v>
      </x:c>
      <x:c r="S17" s="43">
        <x:f t="shared" si="1"/>
        <x:v>266.43849999999992</x:v>
      </x:c>
      <x:c r="T17" s="43">
        <x:f t="shared" si="1"/>
        <x:v>273.0994624999999</x:v>
      </x:c>
      <x:c r="U17" s="43">
        <x:f t="shared" si="1"/>
        <x:v>279.92694906249989</x:v>
      </x:c>
      <x:c r="V17" s="43">
        <x:f t="shared" si="1"/>
        <x:v>286.92512278906241</x:v>
      </x:c>
      <x:c r="W17" s="43">
        <x:f t="shared" si="1"/>
        <x:v>294.09825085878896</x:v>
      </x:c>
    </x:row>
    <x:row r="18" ht="19" customHeight="1">
      <x:c r="A18" s="2"/>
      <x:c r="B18" s="2"/>
      <x:c r="C18" s="2" t="s">
        <x:v>131</x:v>
      </x:c>
      <x:c r="D18" s="3" t="n">
        <x:f t="shared" ref="D18:W18" si="2">AVERAGE(D10,D17)</x:f>
        <x:v>144</x:v>
      </x:c>
      <x:c r="E18" s="3">
        <x:f t="shared" si="2"/>
        <x:v>148.19999999999999</x:v>
      </x:c>
      <x:c r="F18" s="3">
        <x:f t="shared" si="2"/>
        <x:v>156.44999999999999</x:v>
      </x:c>
      <x:c r="G18" s="3">
        <x:f t="shared" si="2"/>
        <x:v>164.34999999999997</x:v>
      </x:c>
      <x:c r="H18" s="3">
        <x:f t="shared" si="2"/>
        <x:v>171.59999999999997</x:v>
      </x:c>
      <x:c r="I18" s="3">
        <x:f t="shared" si="2"/>
        <x:v>176.95</x:v>
      </x:c>
      <x:c r="J18" s="3">
        <x:f t="shared" si="2"/>
        <x:v>176.55</x:v>
      </x:c>
      <x:c r="K18" s="3">
        <x:f t="shared" si="2"/>
        <x:v>171.75</x:v>
      </x:c>
      <x:c r="L18" s="3">
        <x:f t="shared" si="2"/>
        <x:v>170.60000000000002</x:v>
      </x:c>
      <x:c r="M18" s="3">
        <x:f t="shared" si="2"/>
        <x:v>182.95000000000002</x:v>
      </x:c>
      <x:c r="N18" s="3">
        <x:f t="shared" si="2"/>
        <x:v>203.60000000000002</x:v>
      </x:c>
      <x:c r="O18" s="3">
        <x:f t="shared" si="2"/>
        <x:v>220.75</x:v>
      </x:c>
      <x:c r="P18" s="3">
        <x:f t="shared" si="2"/>
        <x:v>228.14999999999998</x:v>
      </x:c>
      <x:c r="Q18" s="3">
        <x:f t="shared" si="2"/>
        <x:v>241.14999999999998</x:v>
      </x:c>
      <x:c r="R18" s="39">
        <x:f t="shared" si="2"/>
        <x:v>256.77</x:v>
      </x:c>
      <x:c r="S18" s="39">
        <x:f t="shared" si="2"/>
        <x:v>263.1892499999999</x:v>
      </x:c>
      <x:c r="T18" s="39">
        <x:f t="shared" si="2"/>
        <x:v>269.76898124999991</x:v>
      </x:c>
      <x:c r="U18" s="39">
        <x:f t="shared" si="2"/>
        <x:v>276.51320578124989</x:v>
      </x:c>
      <x:c r="V18" s="39">
        <x:f t="shared" si="2"/>
        <x:v>283.42603592578115</x:v>
      </x:c>
      <x:c r="W18" s="39">
        <x:f t="shared" si="2"/>
        <x:v>290.51168682392569</x:v>
      </x:c>
    </x:row>
    <x:row r="19" ht="19" customHeight="1">
      <x:c r="A19" s="2"/>
      <x:c r="B19" s="2"/>
      <x:c r="C19" s="45" t="s">
        <x:v>82</x:v>
      </x:c>
      <x:c r="D19" s="46" t="n">
        <x:f t="shared" ref="D19:W19" si="3">D11/D10</x:f>
        <x:v>0.007676203768318213</x:v>
      </x:c>
      <x:c r="E19" s="46">
        <x:f t="shared" si="3"/>
        <x:v>1.0366275051831375E-2</x:v>
      </x:c>
      <x:c r="F19" s="46">
        <x:f t="shared" si="3"/>
        <x:v>4.6143704680290049E-3</x:v>
      </x:c>
      <x:c r="G19" s="46">
        <x:f t="shared" si="3"/>
        <x:v>-1.8610421836228288E-3</x:v>
      </x:c>
      <x:c r="H19" s="46">
        <x:f t="shared" si="3"/>
        <x:v>-9.5522388059701511E-3</x:v>
      </x:c>
      <x:c r="I19" s="46">
        <x:f t="shared" si="3"/>
        <x:v>1.4228799089356859E-2</x:v>
      </x:c>
      <x:c r="J19" s="46">
        <x:f t="shared" si="3"/>
        <x:v>-3.0864197530864196E-2</x:v>
      </x:c>
      <x:c r="K19" s="46">
        <x:f t="shared" si="3"/>
        <x:v>7.4328187535734709E-3</x:v>
      </x:c>
      <x:c r="L19" s="46">
        <x:f t="shared" si="3"/>
        <x:v>2.1352313167259784E-2</x:v>
      </x:c>
      <x:c r="M19" s="46">
        <x:f t="shared" si="3"/>
        <x:v>8.1112398609501729E-2</x:v>
      </x:c>
      <x:c r="N19" s="46">
        <x:f t="shared" si="3"/>
        <x:v>5.0181065700982921E-2</x:v>
      </x:c>
      <x:c r="O19" s="46">
        <x:f t="shared" si="3"/>
        <x:v>6.5451145395044406E-3</x:v>
      </x:c>
      <x:c r="P19" s="46">
        <x:f t="shared" si="3"/>
        <x:v>-7.0298769771529003E-3</x:v>
      </x:c>
      <x:c r="Q19" s="46">
        <x:f t="shared" si="3"/>
        <x:v>3.8041101880192392E-2</x:v>
      </x:c>
      <x:c r="R19" s="47">
        <x:f t="shared" si="3"/>
        <x:v>0.01</x:v>
      </x:c>
      <x:c r="S19" s="47">
        <x:f t="shared" si="3"/>
        <x:v>0.01</x:v>
      </x:c>
      <x:c r="T19" s="47">
        <x:f t="shared" si="3"/>
        <x:v>0.01</x:v>
      </x:c>
      <x:c r="U19" s="47">
        <x:f t="shared" si="3"/>
        <x:v>0.01</x:v>
      </x:c>
      <x:c r="V19" s="47">
        <x:f t="shared" si="3"/>
        <x:v>0.01</x:v>
      </x:c>
      <x:c r="W19" s="47">
        <x:f t="shared" si="3"/>
        <x:v>0.01</x:v>
      </x:c>
    </x:row>
    <x:row r="20" ht="19" customHeight="1">
      <x:c r="A20" s="2"/>
      <x:c r="B20" s="2"/>
      <x:c r="C20" s="45" t="s">
        <x:v>132</x:v>
      </x:c>
      <x:c r="D20" s="46" t="n">
        <x:f t="shared" ref="D20:W20" si="4">D12/D10</x:f>
        <x:v>0.004884856943475226</x:v>
      </x:c>
      <x:c r="E20" s="46">
        <x:f t="shared" si="4"/>
        <x:v>3.0407740152038707E-2</x:v>
      </x:c>
      <x:c r="F20" s="46">
        <x:f t="shared" si="4"/>
        <x:v>6.5919578114700071E-4</x:v>
      </x:c>
      <x:c r="G20" s="46">
        <x:f t="shared" si="4"/>
        <x:v>2.7915632754342435E-2</x:v>
      </x:c>
      <x:c r="H20" s="46">
        <x:f t="shared" si="4"/>
        <x:v>5.8507462686567181E-2</x:v>
      </x:c>
      <x:c r="I20" s="46">
        <x:f t="shared" si="4"/>
        <x:v>7.3989755264655668E-3</x:v>
      </x:c>
      <x:c r="J20" s="46">
        <x:f t="shared" si="4"/>
        <x:v>2.2446689113355778E-3</x:v>
      </x:c>
      <x:c r="K20" s="46">
        <x:f t="shared" si="4"/>
        <x:v>-3.4305317324185248E-3</x:v>
      </x:c>
      <x:c r="L20" s="46">
        <x:f t="shared" si="4"/>
        <x:v>-6.5243179122182679E-3</x:v>
      </x:c>
      <x:c r="M20" s="46">
        <x:f t="shared" si="4"/>
        <x:v>2.0857473928157587E-2</x:v>
      </x:c>
      <x:c r="N20" s="46">
        <x:f t="shared" si="4"/>
        <x:v>5.1733057423693739E-2</x:v>
      </x:c>
      <x:c r="O20" s="46">
        <x:f t="shared" si="4"/>
        <x:v>4.1608228143992523E-2</x:v>
      </x:c>
      <x:c r="P20" s="46">
        <x:f t="shared" si="4"/>
        <x:v>1.3620386643233744E-2</x:v>
      </x:c>
      <x:c r="Q20" s="46">
        <x:f t="shared" si="4"/>
        <x:v>7.3021425448185392E-2</x:v>
      </x:c>
      <x:c r="R20" s="47">
        <x:f t="shared" si="4"/>
        <x:v>1.4999999999999999E-2</x:v>
      </x:c>
      <x:c r="S20" s="47">
        <x:f t="shared" si="4"/>
        <x:v>1.4999999999999999E-2</x:v>
      </x:c>
      <x:c r="T20" s="47">
        <x:f t="shared" si="4"/>
        <x:v>1.4999999999999999E-2</x:v>
      </x:c>
      <x:c r="U20" s="47">
        <x:f t="shared" si="4"/>
        <x:v>1.4999999999999998E-2</x:v>
      </x:c>
      <x:c r="V20" s="47">
        <x:f t="shared" si="4"/>
        <x:v>1.4999999999999998E-2</x:v>
      </x:c>
      <x:c r="W20" s="47">
        <x:f t="shared" si="4"/>
        <x:v>1.4999999999999999E-2</x:v>
      </x:c>
    </x:row>
    <x:row r="21" ht="19" customHeight="1">
      <x:c r="A21" s="2"/>
      <x:c r="B21" s="2"/>
      <x:c r="C21" s="2"/>
      <x:c r="D21" s="3"/>
      <x:c r="E21" s="3"/>
      <x:c r="F21" s="3"/>
      <x:c r="G21" s="3"/>
      <x:c r="H21" s="3"/>
      <x:c r="I21" s="3"/>
      <x:c r="J21" s="3"/>
      <x:c r="K21" s="3"/>
      <x:c r="L21" s="3"/>
      <x:c r="M21" s="3"/>
      <x:c r="N21" s="3"/>
      <x:c r="O21" s="3"/>
      <x:c r="P21" s="3"/>
      <x:c r="Q21" s="3"/>
      <x:c r="R21" s="39"/>
      <x:c r="S21" s="39"/>
      <x:c r="T21" s="39"/>
      <x:c r="U21" s="39"/>
      <x:c r="V21" s="39"/>
      <x:c r="W21" s="39"/>
    </x:row>
    <x:row r="22" ht="19" customHeight="1">
      <x:c r="A22" s="2"/>
      <x:c r="B22" s="2"/>
      <x:c r="C22" s="2"/>
      <x:c r="D22" s="3"/>
      <x:c r="E22" s="3"/>
      <x:c r="F22" s="3"/>
      <x:c r="G22" s="3"/>
      <x:c r="H22" s="3"/>
      <x:c r="I22" s="3"/>
      <x:c r="J22" s="3"/>
      <x:c r="K22" s="3"/>
      <x:c r="L22" s="3"/>
      <x:c r="M22" s="3"/>
      <x:c r="N22" s="3"/>
      <x:c r="O22" s="3"/>
      <x:c r="P22" s="3"/>
      <x:c r="Q22" s="3"/>
      <x:c r="R22" s="39"/>
      <x:c r="S22" s="39"/>
      <x:c r="T22" s="39"/>
      <x:c r="U22" s="39"/>
      <x:c r="V22" s="39"/>
      <x:c r="W22" s="39"/>
    </x:row>
    <x:row r="23" ht="19" customHeight="1">
      <x:c r="A23" s="2"/>
      <x:c r="B23" s="2"/>
      <x:c r="C23" s="11" t="s">
        <x:v>133</x:v>
      </x:c>
      <x:c r="D23" s="12"/>
      <x:c r="E23" s="12"/>
      <x:c r="F23" s="12"/>
      <x:c r="G23" s="12"/>
      <x:c r="H23" s="12"/>
      <x:c r="I23" s="12"/>
      <x:c r="J23" s="12"/>
      <x:c r="K23" s="12"/>
      <x:c r="L23" s="12"/>
      <x:c r="M23" s="12"/>
      <x:c r="N23" s="12"/>
      <x:c r="O23" s="12"/>
      <x:c r="P23" s="12"/>
      <x:c r="Q23" s="12"/>
      <x:c r="R23" s="38"/>
      <x:c r="S23" s="38"/>
      <x:c r="T23" s="38"/>
      <x:c r="U23" s="38"/>
      <x:c r="V23" s="38"/>
      <x:c r="W23" s="38"/>
    </x:row>
    <x:row r="24" ht="19" customHeight="1">
      <x:c r="A24" s="2"/>
      <x:c r="B24" s="2"/>
      <x:c r="C24" s="2" t="s">
        <x:v>134</x:v>
      </x:c>
      <x:c r="D24" s="3" t="n">
        <x:f t="shared" ref="D24:Q24" si="5">D27-D25</x:f>
        <x:v>234.57905544147843</x:v>
      </x:c>
      <x:c r="E24" s="3">
        <x:f t="shared" si="5"/>
        <x:v>241.42094455852157</x:v>
      </x:c>
      <x:c r="F24" s="3">
        <x:f t="shared" si="5"/>
        <x:v>253.10956982543644</x:v>
      </x:c>
      <x:c r="G24" s="3">
        <x:f t="shared" si="5"/>
        <x:v>265.89043017456356</x:v>
      </x:c>
      <x:c r="H24" s="3">
        <x:f t="shared" si="5"/>
        <x:v>279.64079759001578</x:v>
      </x:c>
      <x:c r="I24" s="3">
        <x:f t="shared" si="5"/>
        <x:v>288.35920240998422</x:v>
      </x:c>
      <x:c r="J24" s="3">
        <x:f t="shared" si="5"/>
        <x:v>287.40697674418612</x:v>
      </x:c>
      <x:c r="K24" s="3">
        <x:f t="shared" si="5"/>
        <x:v>279.59302325581393</x:v>
      </x:c>
      <x:c r="L24" s="3">
        <x:f t="shared" si="5"/>
        <x:v>262.01612218922355</x:v>
      </x:c>
      <x:c r="M24" s="3">
        <x:f t="shared" si="5"/>
        <x:v>280.98387781077633</x:v>
      </x:c>
      <x:c r="N24" s="3">
        <x:f t="shared" si="5"/>
        <x:v>284.51702603982562</x:v>
      </x:c>
      <x:c r="O24" s="3">
        <x:f t="shared" si="5"/>
        <x:v>308.48297396017438</x:v>
      </x:c>
      <x:c r="P24" s="3">
        <x:f t="shared" si="5"/>
        <x:v>325.72022160664824</x:v>
      </x:c>
      <x:c r="Q24" s="3">
        <x:f t="shared" si="5"/>
        <x:v>344.27977839335176</x:v>
      </x:c>
      <x:c r="R24" s="39" t="s">
        <x:v>135</x:v>
      </x:c>
      <x:c r="S24" s="39" t="s">
        <x:v>135</x:v>
      </x:c>
      <x:c r="T24" s="39" t="s">
        <x:v>135</x:v>
      </x:c>
      <x:c r="U24" s="39" t="s">
        <x:v>135</x:v>
      </x:c>
      <x:c r="V24" s="39" t="s">
        <x:v>135</x:v>
      </x:c>
      <x:c r="W24" s="39" t="s">
        <x:v>135</x:v>
      </x:c>
    </x:row>
    <x:row r="25" ht="19" customHeight="1">
      <x:c r="A25" s="2"/>
      <x:c r="B25" s="2"/>
      <x:c r="C25" s="2" t="s">
        <x:v>136</x:v>
      </x:c>
      <x:c r="D25" s="3" t="n">
        <x:f t="shared" ref="D25:Q25" si="6">-D82*D63</x:f>
        <x:v>-7.885010266940452</x:v>
      </x:c>
      <x:c r="E25" s="3">
        <x:f t="shared" si="6"/>
        <x:v>-8.1149897330595486</x:v>
      </x:c>
      <x:c r="F25" s="3">
        <x:f t="shared" si="6"/>
        <x:v>-7.8029925187032427</x:v>
      </x:c>
      <x:c r="G25" s="3">
        <x:f t="shared" si="6"/>
        <x:v>-8.1970074812967582</x:v>
      </x:c>
      <x:c r="H25" s="3">
        <x:f t="shared" si="6"/>
        <x:v>-8.3695309137856828</x:v>
      </x:c>
      <x:c r="I25" s="3">
        <x:f t="shared" si="6"/>
        <x:v>-8.6304690862143172</x:v>
      </x:c>
      <x:c r="J25" s="3">
        <x:f t="shared" si="6"/>
        <x:v>-10.644702842377262</x:v>
      </x:c>
      <x:c r="K25" s="3">
        <x:f t="shared" si="6"/>
        <x:v>-10.355297157622738</x:v>
      </x:c>
      <x:c r="L25" s="3">
        <x:f t="shared" si="6"/>
        <x:v>-12.545891670202234</x:v>
      </x:c>
      <x:c r="M25" s="3">
        <x:f t="shared" si="6"/>
        <x:v>-13.454108329797764</x:v>
      </x:c>
      <x:c r="N25" s="3">
        <x:f t="shared" si="6"/>
        <x:v>-15.83315659243549</x:v>
      </x:c>
      <x:c r="O25" s="3">
        <x:f t="shared" si="6"/>
        <x:v>-17.16684340756451</x:v>
      </x:c>
      <x:c r="P25" s="3">
        <x:f t="shared" si="6"/>
        <x:v>-20.90443213296399</x:v>
      </x:c>
      <x:c r="Q25" s="3">
        <x:f t="shared" si="6"/>
        <x:v>-22.09556786703601</x:v>
      </x:c>
      <x:c r="R25" s="39" t="s">
        <x:v>135</x:v>
      </x:c>
      <x:c r="S25" s="39" t="s">
        <x:v>135</x:v>
      </x:c>
      <x:c r="T25" s="39" t="s">
        <x:v>135</x:v>
      </x:c>
      <x:c r="U25" s="39" t="s">
        <x:v>135</x:v>
      </x:c>
      <x:c r="V25" s="39" t="s">
        <x:v>135</x:v>
      </x:c>
      <x:c r="W25" s="39" t="s">
        <x:v>135</x:v>
      </x:c>
    </x:row>
    <x:row r="26" ht="19" customHeight="1">
      <x:c r="A26" s="2"/>
      <x:c r="B26" s="2"/>
      <x:c r="C26" s="2" t="s">
        <x:v>137</x:v>
      </x:c>
      <x:c r="D26" s="24" t="n">
        <x:f>D27/D18/Assumptions!$D$49/Assumptions!$D$48*Assumptions!$D$60</x:f>
        <x:v>62.97056810403833</x:v>
      </x:c>
      <x:c r="E26" s="24" t="n">
        <x:f>E27/E18/Assumptions!$D$49/Assumptions!$D$48*Assumptions!$D$60</x:f>
        <x:v>62.97056810403833</x:v>
      </x:c>
      <x:c r="F26" s="24" t="n">
        <x:f>F27/F18/Assumptions!$D$49/Assumptions!$D$48*Assumptions!$D$60</x:f>
        <x:v>62.71820448877806</x:v>
      </x:c>
      <x:c r="G26" s="24" t="n">
        <x:f>G27/G18/Assumptions!$D$49/Assumptions!$D$48*Assumptions!$D$60</x:f>
        <x:v>62.71820448877806</x:v>
      </x:c>
      <x:c r="H26" s="24" t="n">
        <x:f>H27/H18/Assumptions!$D$49/Assumptions!$D$48*Assumptions!$D$60</x:f>
        <x:v>63.23339549562474</x:v>
      </x:c>
      <x:c r="I26" s="24" t="n">
        <x:f>I27/I18/Assumptions!$D$49/Assumptions!$D$48*Assumptions!$D$60</x:f>
        <x:v>63.233395495624734</x:v>
      </x:c>
      <x:c r="J26" s="24" t="n">
        <x:f>J27/J18/Assumptions!$D$49/Assumptions!$D$48*Assumptions!$D$60</x:f>
        <x:v>62.70456503014643</x:v>
      </x:c>
      <x:c r="K26" s="24" t="n">
        <x:f>K27/K18/Assumptions!$D$49/Assumptions!$D$48*Assumptions!$D$60</x:f>
        <x:v>62.704565030146426</x:v>
      </x:c>
      <x:c r="L26" s="24" t="n">
        <x:f>L27/L18/Assumptions!$D$49/Assumptions!$D$48*Assumptions!$D$60</x:f>
        <x:v>58.49243388488189</x:v>
      </x:c>
      <x:c r="M26" s="24" t="n">
        <x:f>M27/M18/Assumptions!$D$49/Assumptions!$D$48*Assumptions!$D$60</x:f>
        <x:v>58.49243388488189</x:v>
      </x:c>
      <x:c r="N26" s="24" t="n">
        <x:f>N27/N18/Assumptions!$D$49/Assumptions!$D$48*Assumptions!$D$60</x:f>
        <x:v>52.78661482266996</x:v>
      </x:c>
      <x:c r="O26" s="24" t="n">
        <x:f>O27/O18/Assumptions!$D$49/Assumptions!$D$48*Assumptions!$D$60</x:f>
        <x:v>52.78661482266997</x:v>
      </x:c>
      <x:c r="P26" s="24" t="n">
        <x:f>P27/P18/Assumptions!$D$49/Assumptions!$D$48*Assumptions!$D$60</x:f>
        <x:v>53.44129554655871</x:v>
      </x:c>
      <x:c r="Q26" s="24" t="n">
        <x:f>Q27/Q18/Assumptions!$D$49/Assumptions!$D$48*Assumptions!$D$60</x:f>
        <x:v>53.44129554655871</x:v>
      </x:c>
      <x:c r="R26" s="49" t="n">
        <x:f>Assumptions!R25</x:f>
        <x:v>56</x:v>
      </x:c>
      <x:c r="S26" s="49" t="n">
        <x:f>Assumptions!S25</x:f>
        <x:v>56</x:v>
      </x:c>
      <x:c r="T26" s="49" t="n">
        <x:f>Assumptions!T25</x:f>
        <x:v>56</x:v>
      </x:c>
      <x:c r="U26" s="49" t="n">
        <x:f>Assumptions!U25</x:f>
        <x:v>56</x:v>
      </x:c>
      <x:c r="V26" s="49" t="n">
        <x:f>Assumptions!V25</x:f>
        <x:v>56</x:v>
      </x:c>
      <x:c r="W26" s="49" t="n">
        <x:f>Assumptions!W25</x:f>
        <x:v>56</x:v>
      </x:c>
    </x:row>
    <x:row r="27" ht="19" customHeight="1">
      <x:c r="A27" s="2"/>
      <x:c r="B27" s="2"/>
      <x:c r="C27" s="41" t="s">
        <x:v>138</x:v>
      </x:c>
      <x:c r="D27" s="42" t="n">
        <x:f t="shared" ref="D27:Q27" si="7">D65*D63</x:f>
        <x:v>226.694045174538</x:v>
      </x:c>
      <x:c r="E27" s="42">
        <x:f t="shared" si="7"/>
        <x:v>233.30595482546201</x:v>
      </x:c>
      <x:c r="F27" s="42">
        <x:f t="shared" si="7"/>
        <x:v>245.3065773067332</x:v>
      </x:c>
      <x:c r="G27" s="42">
        <x:f t="shared" si="7"/>
        <x:v>257.69342269326683</x:v>
      </x:c>
      <x:c r="H27" s="42">
        <x:f t="shared" si="7"/>
        <x:v>271.27126667623008</x:v>
      </x:c>
      <x:c r="I27" s="42">
        <x:f t="shared" si="7"/>
        <x:v>279.72873332376992</x:v>
      </x:c>
      <x:c r="J27" s="42">
        <x:f t="shared" si="7"/>
        <x:v>276.76227390180884</x:v>
      </x:c>
      <x:c r="K27" s="42">
        <x:f t="shared" si="7"/>
        <x:v>269.23772609819122</x:v>
      </x:c>
      <x:c r="L27" s="42">
        <x:f t="shared" si="7"/>
        <x:v>249.47023051902133</x:v>
      </x:c>
      <x:c r="M27" s="42">
        <x:f t="shared" si="7"/>
        <x:v>267.52976948097859</x:v>
      </x:c>
      <x:c r="N27" s="42">
        <x:f t="shared" si="7"/>
        <x:v>268.68386944739012</x:v>
      </x:c>
      <x:c r="O27" s="42">
        <x:f t="shared" si="7"/>
        <x:v>291.31613055260988</x:v>
      </x:c>
      <x:c r="P27" s="42">
        <x:f t="shared" si="7"/>
        <x:v>304.81578947368422</x:v>
      </x:c>
      <x:c r="Q27" s="42">
        <x:f t="shared" si="7"/>
        <x:v>322.18421052631578</x:v>
      </x:c>
      <x:c r="R27" s="44" t="n">
        <x:f>R18*Assumptions!$D$49*R26/Assumptions!$D$60*Assumptions!$D$48</x:f>
        <x:v>359.47799999999995</x:v>
      </x:c>
      <x:c r="S27" s="44" t="n">
        <x:f>S18*Assumptions!$D$49*S26/Assumptions!$D$60*Assumptions!$D$48</x:f>
        <x:v>368.4649499999998</x:v>
      </x:c>
      <x:c r="T27" s="44" t="n">
        <x:f>T18*Assumptions!$D$49*T26/Assumptions!$D$60*Assumptions!$D$48</x:f>
        <x:v>377.6765737499998</x:v>
      </x:c>
      <x:c r="U27" s="44" t="n">
        <x:f>U18*Assumptions!$D$49*U26/Assumptions!$D$60*Assumptions!$D$48</x:f>
        <x:v>387.1184880937499</x:v>
      </x:c>
      <x:c r="V27" s="44" t="n">
        <x:f>V18*Assumptions!$D$49*V26/Assumptions!$D$60*Assumptions!$D$48</x:f>
        <x:v>396.79645029609355</x:v>
      </x:c>
      <x:c r="W27" s="44" t="n">
        <x:f>W18*Assumptions!$D$49*W26/Assumptions!$D$60*Assumptions!$D$48</x:f>
        <x:v>406.716361553496</x:v>
      </x:c>
    </x:row>
    <x:row r="28" ht="19" customHeight="1">
      <x:c r="A28" s="2"/>
      <x:c r="B28" s="2"/>
      <x:c r="C28" s="2" t="s">
        <x:v>139</x:v>
      </x:c>
      <x:c r="D28" s="3" t="n">
        <x:f t="shared" ref="D28:Q28" si="8">D66*D64</x:f>
        <x:v>3.2</x:v>
      </x:c>
      <x:c r="E28" s="3">
        <x:f t="shared" si="8"/>
        <x:v>28.8</x:v>
      </x:c>
      <x:c r="F28" s="3">
        <x:f t="shared" si="8"/>
        <x:v>14.8</x:v>
      </x:c>
      <x:c r="G28" s="3">
        <x:f t="shared" si="8"/>
        <x:v>133.20000000000002</x:v>
      </x:c>
      <x:c r="H28" s="3">
        <x:f t="shared" si="8"/>
        <x:v>17</x:v>
      </x:c>
      <x:c r="I28" s="3">
        <x:f t="shared" si="8"/>
        <x:v>153</x:v>
      </x:c>
      <x:c r="J28" s="3">
        <x:f t="shared" si="8"/>
        <x:v>14</x:v>
      </x:c>
      <x:c r="K28" s="3">
        <x:f t="shared" si="8"/>
        <x:v>126</x:v>
      </x:c>
      <x:c r="L28" s="3">
        <x:f t="shared" si="8"/>
        <x:v>6.7</x:v>
      </x:c>
      <x:c r="M28" s="3">
        <x:f t="shared" si="8"/>
        <x:v>60.300000000000004</x:v>
      </x:c>
      <x:c r="N28" s="3">
        <x:f t="shared" si="8"/>
        <x:v>21.400000000000002</x:v>
      </x:c>
      <x:c r="O28" s="3">
        <x:f t="shared" si="8"/>
        <x:v>192.6</x:v>
      </x:c>
      <x:c r="P28" s="3">
        <x:f t="shared" si="8"/>
        <x:v>20.700000000000003</x:v>
      </x:c>
      <x:c r="Q28" s="3">
        <x:f t="shared" si="8"/>
        <x:v>186.3</x:v>
      </x:c>
      <x:c r="R28" s="40" t="n">
        <x:f>Assumptions!R32</x:f>
        <x:v>21.400000000000002</x:v>
      </x:c>
      <x:c r="S28" s="40" t="n">
        <x:f>Assumptions!S32</x:f>
        <x:v>192.6</x:v>
      </x:c>
      <x:c r="T28" s="40" t="n">
        <x:f>Assumptions!T32</x:f>
        <x:v>6.7</x:v>
      </x:c>
      <x:c r="U28" s="40" t="n">
        <x:f>Assumptions!U32</x:f>
        <x:v>60.300000000000004</x:v>
      </x:c>
      <x:c r="V28" s="40" t="n">
        <x:f>Assumptions!V32</x:f>
        <x:v>21.400000000000002</x:v>
      </x:c>
      <x:c r="W28" s="40" t="n">
        <x:f>Assumptions!W32</x:f>
        <x:v>192.6</x:v>
      </x:c>
    </x:row>
    <x:row r="29" ht="19" customHeight="1">
      <x:c r="A29" s="2"/>
      <x:c r="B29" s="2"/>
      <x:c r="C29" s="2" t="s">
        <x:v>140</x:v>
      </x:c>
      <x:c r="D29" s="7" t="n">
        <x:f>D67*Assumptions!$D$43</x:f>
        <x:v>9.5</x:v>
      </x:c>
      <x:c r="E29" s="7" t="n">
        <x:f>E67*Assumptions!$D$43</x:f>
        <x:v>9.5</x:v>
      </x:c>
      <x:c r="F29" s="7" t="n">
        <x:f>F67*Assumptions!$D$43</x:f>
        <x:v>14.5</x:v>
      </x:c>
      <x:c r="G29" s="7" t="n">
        <x:f>G67*Assumptions!$D$43</x:f>
        <x:v>14.5</x:v>
      </x:c>
      <x:c r="H29" s="7" t="n">
        <x:f>H67*Assumptions!$D$43</x:f>
        <x:v>19.5</x:v>
      </x:c>
      <x:c r="I29" s="7" t="n">
        <x:f>I67*Assumptions!$D$43</x:f>
        <x:v>19.5</x:v>
      </x:c>
      <x:c r="J29" s="7" t="n">
        <x:f>J67*Assumptions!$D$43</x:f>
        <x:v>5.5</x:v>
      </x:c>
      <x:c r="K29" s="7" t="n">
        <x:f>K67*Assumptions!$D$43</x:f>
        <x:v>5.5</x:v>
      </x:c>
      <x:c r="L29" s="7" t="n">
        <x:f>L67*Assumptions!$D$43</x:f>
        <x:v>9.5</x:v>
      </x:c>
      <x:c r="M29" s="7" t="n">
        <x:f>M67*Assumptions!$D$43</x:f>
        <x:v>9.5</x:v>
      </x:c>
      <x:c r="N29" s="7" t="n">
        <x:f>N67*Assumptions!$D$43</x:f>
        <x:v>9.5</x:v>
      </x:c>
      <x:c r="O29" s="7" t="n">
        <x:f>O67*Assumptions!$D$43</x:f>
        <x:v>9.5</x:v>
      </x:c>
      <x:c r="P29" s="7" t="n">
        <x:f>P67*Assumptions!$D$43</x:f>
        <x:v>9</x:v>
      </x:c>
      <x:c r="Q29" s="7" t="n">
        <x:f>Q67*Assumptions!$D$43</x:f>
        <x:v>9</x:v>
      </x:c>
      <x:c r="R29" s="40" t="n">
        <x:f>Assumptions!$D$58</x:f>
        <x:v>9.5</x:v>
      </x:c>
      <x:c r="S29" s="40" t="n">
        <x:f>Assumptions!$D$58</x:f>
        <x:v>9.5</x:v>
      </x:c>
      <x:c r="T29" s="40" t="n">
        <x:f>Assumptions!$D$58</x:f>
        <x:v>9.5</x:v>
      </x:c>
      <x:c r="U29" s="40" t="n">
        <x:f>Assumptions!$D$58</x:f>
        <x:v>9.5</x:v>
      </x:c>
      <x:c r="V29" s="40" t="n">
        <x:f>Assumptions!$D$58</x:f>
        <x:v>9.5</x:v>
      </x:c>
      <x:c r="W29" s="40" t="n">
        <x:f>Assumptions!$D$58</x:f>
        <x:v>9.5</x:v>
      </x:c>
    </x:row>
    <x:row r="30" ht="19" customHeight="1">
      <x:c r="A30" s="2"/>
      <x:c r="B30" s="2"/>
      <x:c r="C30" s="2" t="s">
        <x:v>141</x:v>
      </x:c>
      <x:c r="D30" s="7" t="n">
        <x:f>D73*Assumptions!$D$43</x:f>
        <x:v>1</x:v>
      </x:c>
      <x:c r="E30" s="7" t="n">
        <x:f>E73*Assumptions!$D$43</x:f>
        <x:v>1</x:v>
      </x:c>
      <x:c r="F30" s="7" t="n">
        <x:f>F73*Assumptions!$D$43</x:f>
        <x:v>1.5</x:v>
      </x:c>
      <x:c r="G30" s="7" t="n">
        <x:f>G73*Assumptions!$D$43</x:f>
        <x:v>1.5</x:v>
      </x:c>
      <x:c r="H30" s="7" t="n">
        <x:f>H73*Assumptions!$D$43</x:f>
        <x:v>0.5</x:v>
      </x:c>
      <x:c r="I30" s="7" t="n">
        <x:f>I73*Assumptions!$D$43</x:f>
        <x:v>0.5</x:v>
      </x:c>
      <x:c r="J30" s="7" t="n">
        <x:f>J73*Assumptions!$D$43</x:f>
        <x:v>0.5</x:v>
      </x:c>
      <x:c r="K30" s="7" t="n">
        <x:f>K73*Assumptions!$D$43</x:f>
        <x:v>0.5</x:v>
      </x:c>
      <x:c r="L30" s="7" t="n">
        <x:f>L73*Assumptions!$D$43</x:f>
        <x:v>0.5</x:v>
      </x:c>
      <x:c r="M30" s="7" t="n">
        <x:f>M73*Assumptions!$D$43</x:f>
        <x:v>0.5</x:v>
      </x:c>
      <x:c r="N30" s="7" t="n">
        <x:f>N73*Assumptions!$D$43</x:f>
        <x:v>0.5</x:v>
      </x:c>
      <x:c r="O30" s="7" t="n">
        <x:f>O73*Assumptions!$D$43</x:f>
        <x:v>0.5</x:v>
      </x:c>
      <x:c r="P30" s="7" t="n">
        <x:f>P73*Assumptions!$D$43</x:f>
        <x:v>0.5</x:v>
      </x:c>
      <x:c r="Q30" s="7" t="n">
        <x:f>Q73*Assumptions!$D$43</x:f>
        <x:v>0.5</x:v>
      </x:c>
      <x:c r="R30" s="40" t="n">
        <x:f>Assumptions!$D$59</x:f>
        <x:v>0.5</x:v>
      </x:c>
      <x:c r="S30" s="40" t="n">
        <x:f>Assumptions!$D$59</x:f>
        <x:v>0.5</x:v>
      </x:c>
      <x:c r="T30" s="40" t="n">
        <x:f>Assumptions!$D$59</x:f>
        <x:v>0.5</x:v>
      </x:c>
      <x:c r="U30" s="40" t="n">
        <x:f>Assumptions!$D$59</x:f>
        <x:v>0.5</x:v>
      </x:c>
      <x:c r="V30" s="40" t="n">
        <x:f>Assumptions!$D$59</x:f>
        <x:v>0.5</x:v>
      </x:c>
      <x:c r="W30" s="40" t="n">
        <x:f>Assumptions!$D$59</x:f>
        <x:v>0.5</x:v>
      </x:c>
    </x:row>
    <x:row r="31" ht="19" customHeight="1">
      <x:c r="A31" s="2"/>
      <x:c r="B31" s="2"/>
      <x:c r="C31" s="41" t="s">
        <x:v>142</x:v>
      </x:c>
      <x:c r="D31" s="42" t="n">
        <x:f t="shared" ref="D31:W31" si="9">SUM(D27:D30)</x:f>
        <x:v>240.39404517453798</x:v>
      </x:c>
      <x:c r="E31" s="42">
        <x:f t="shared" si="9"/>
        <x:v>272.60595482546199</x:v>
      </x:c>
      <x:c r="F31" s="42">
        <x:f t="shared" si="9"/>
        <x:v>276.10657730673319</x:v>
      </x:c>
      <x:c r="G31" s="42">
        <x:f t="shared" si="9"/>
        <x:v>406.89342269326687</x:v>
      </x:c>
      <x:c r="H31" s="42">
        <x:f t="shared" si="9"/>
        <x:v>308.27126667623008</x:v>
      </x:c>
      <x:c r="I31" s="42">
        <x:f t="shared" si="9"/>
        <x:v>452.72873332376992</x:v>
      </x:c>
      <x:c r="J31" s="42">
        <x:f t="shared" si="9"/>
        <x:v>296.76227390180884</x:v>
      </x:c>
      <x:c r="K31" s="42">
        <x:f t="shared" si="9"/>
        <x:v>401.23772609819122</x:v>
      </x:c>
      <x:c r="L31" s="42">
        <x:f t="shared" si="9"/>
        <x:v>266.17023051902135</x:v>
      </x:c>
      <x:c r="M31" s="42">
        <x:f t="shared" si="9"/>
        <x:v>337.8297694809786</x:v>
      </x:c>
      <x:c r="N31" s="42">
        <x:f t="shared" si="9"/>
        <x:v>300.0838694473901</x:v>
      </x:c>
      <x:c r="O31" s="42">
        <x:f t="shared" si="9"/>
        <x:v>493.91613055260984</x:v>
      </x:c>
      <x:c r="P31" s="42">
        <x:f t="shared" si="9"/>
        <x:v>335.01578947368421</x:v>
      </x:c>
      <x:c r="Q31" s="42">
        <x:f t="shared" si="9"/>
        <x:v>517.98421052631579</x:v>
      </x:c>
      <x:c r="R31" s="43">
        <x:f t="shared" si="9"/>
        <x:v>390.87799999999993</x:v>
      </x:c>
      <x:c r="S31" s="43">
        <x:f t="shared" si="9"/>
        <x:v>571.06494999999984</x:v>
      </x:c>
      <x:c r="T31" s="43">
        <x:f t="shared" si="9"/>
        <x:v>394.37657374999981</x:v>
      </x:c>
      <x:c r="U31" s="43">
        <x:f t="shared" si="9"/>
        <x:v>457.41848809374989</x:v>
      </x:c>
      <x:c r="V31" s="43">
        <x:f t="shared" si="9"/>
        <x:v>428.19645029609353</x:v>
      </x:c>
      <x:c r="W31" s="43">
        <x:f t="shared" si="9"/>
        <x:v>609.31636155349599</x:v>
      </x:c>
    </x:row>
    <x:row r="32" ht="19" customHeight="1">
      <x:c r="A32" s="2"/>
      <x:c r="B32" s="2"/>
      <x:c r="C32" s="2"/>
      <x:c r="D32" s="3"/>
      <x:c r="E32" s="3"/>
      <x:c r="F32" s="3"/>
      <x:c r="G32" s="3"/>
      <x:c r="H32" s="3"/>
      <x:c r="I32" s="3"/>
      <x:c r="J32" s="3"/>
      <x:c r="K32" s="3"/>
      <x:c r="L32" s="3"/>
      <x:c r="M32" s="3"/>
      <x:c r="N32" s="3"/>
      <x:c r="O32" s="3"/>
      <x:c r="P32" s="3"/>
      <x:c r="Q32" s="3"/>
      <x:c r="R32" s="39"/>
      <x:c r="S32" s="39"/>
      <x:c r="T32" s="39"/>
      <x:c r="U32" s="39"/>
      <x:c r="V32" s="39"/>
      <x:c r="W32" s="39"/>
    </x:row>
    <x:row r="33" ht="19" customHeight="1">
      <x:c r="A33" s="2"/>
      <x:c r="B33" s="2"/>
      <x:c r="C33" s="11" t="s">
        <x:v>143</x:v>
      </x:c>
      <x:c r="D33" s="12"/>
      <x:c r="E33" s="12"/>
      <x:c r="F33" s="12"/>
      <x:c r="G33" s="12"/>
      <x:c r="H33" s="12"/>
      <x:c r="I33" s="12"/>
      <x:c r="J33" s="12"/>
      <x:c r="K33" s="12"/>
      <x:c r="L33" s="12"/>
      <x:c r="M33" s="12"/>
      <x:c r="N33" s="12"/>
      <x:c r="O33" s="12"/>
      <x:c r="P33" s="12"/>
      <x:c r="Q33" s="12"/>
      <x:c r="R33" s="38"/>
      <x:c r="S33" s="38"/>
      <x:c r="T33" s="38"/>
      <x:c r="U33" s="38"/>
      <x:c r="V33" s="38"/>
      <x:c r="W33" s="38"/>
    </x:row>
    <x:row r="34" ht="19" customHeight="1">
      <x:c r="A34" s="2"/>
      <x:c r="B34" s="2"/>
      <x:c r="C34" s="2" t="s">
        <x:v>144</x:v>
      </x:c>
      <x:c r="D34" s="7" t="n">
        <x:f>-D68*Assumptions!$D$43</x:f>
        <x:v>-59</x:v>
      </x:c>
      <x:c r="E34" s="7" t="n">
        <x:f>-E68*Assumptions!$D$43</x:f>
        <x:v>-59</x:v>
      </x:c>
      <x:c r="F34" s="7" t="n">
        <x:f>-F68*Assumptions!$D$43</x:f>
        <x:v>-60.5</x:v>
      </x:c>
      <x:c r="G34" s="7" t="n">
        <x:f>-G68*Assumptions!$D$43</x:f>
        <x:v>-60.5</x:v>
      </x:c>
      <x:c r="H34" s="7" t="n">
        <x:f>-H68*Assumptions!$D$43</x:f>
        <x:v>-67</x:v>
      </x:c>
      <x:c r="I34" s="7" t="n">
        <x:f>-I68*Assumptions!$D$43</x:f>
        <x:v>-67</x:v>
      </x:c>
      <x:c r="J34" s="7" t="n">
        <x:f>-J68*Assumptions!$D$43</x:f>
        <x:v>-65</x:v>
      </x:c>
      <x:c r="K34" s="7" t="n">
        <x:f>-K68*Assumptions!$D$43</x:f>
        <x:v>-65</x:v>
      </x:c>
      <x:c r="L34" s="7" t="n">
        <x:f>-L68*Assumptions!$D$43</x:f>
        <x:v>-70.5</x:v>
      </x:c>
      <x:c r="M34" s="7" t="n">
        <x:f>-M68*Assumptions!$D$43</x:f>
        <x:v>-70.5</x:v>
      </x:c>
      <x:c r="N34" s="7" t="n">
        <x:f>-N68*Assumptions!$D$43</x:f>
        <x:v>-66.5</x:v>
      </x:c>
      <x:c r="O34" s="7" t="n">
        <x:f>-O68*Assumptions!$D$43</x:f>
        <x:v>-66.5</x:v>
      </x:c>
      <x:c r="P34" s="7" t="n">
        <x:f>-P68*Assumptions!$D$43</x:f>
        <x:v>-71.5</x:v>
      </x:c>
      <x:c r="Q34" s="7" t="n">
        <x:f>-Q68*Assumptions!$D$43</x:f>
        <x:v>-71.5</x:v>
      </x:c>
      <x:c r="R34" s="40" t="n">
        <x:f>-Assumptions!$D$54</x:f>
        <x:v>-68.5</x:v>
      </x:c>
      <x:c r="S34" s="40" t="n">
        <x:f>-Assumptions!$D$54</x:f>
        <x:v>-68.5</x:v>
      </x:c>
      <x:c r="T34" s="40" t="n">
        <x:f>-Assumptions!$D$54</x:f>
        <x:v>-68.5</x:v>
      </x:c>
      <x:c r="U34" s="40" t="n">
        <x:f>-Assumptions!$D$54</x:f>
        <x:v>-68.5</x:v>
      </x:c>
      <x:c r="V34" s="40" t="n">
        <x:f>-Assumptions!$D$54</x:f>
        <x:v>-68.5</x:v>
      </x:c>
      <x:c r="W34" s="40" t="n">
        <x:f>-Assumptions!$D$54</x:f>
        <x:v>-68.5</x:v>
      </x:c>
    </x:row>
    <x:row r="35" ht="19" customHeight="1">
      <x:c r="A35" s="2"/>
      <x:c r="B35" s="2"/>
      <x:c r="C35" s="2" t="s">
        <x:v>145</x:v>
      </x:c>
      <x:c r="D35" s="3" t="n">
        <x:f t="shared" ref="D35:Q35" si="10">-(D69-D68)*D63</x:f>
        <x:v>-47.80287474332649</x:v>
      </x:c>
      <x:c r="E35" s="3">
        <x:f t="shared" si="10"/>
        <x:v>-49.197125256673516</x:v>
      </x:c>
      <x:c r="F35" s="3">
        <x:f t="shared" si="10"/>
        <x:v>-50.231764339152122</x:v>
      </x:c>
      <x:c r="G35" s="3">
        <x:f t="shared" si="10"/>
        <x:v>-52.768235660847878</x:v>
      </x:c>
      <x:c r="H35" s="3">
        <x:f t="shared" si="10"/>
        <x:v>-57.602065700760292</x:v>
      </x:c>
      <x:c r="I35" s="3">
        <x:f t="shared" si="10"/>
        <x:v>-59.397934299239715</x:v>
      </x:c>
      <x:c r="J35" s="3">
        <x:f t="shared" si="10"/>
        <x:v>-55.251076658053407</x:v>
      </x:c>
      <x:c r="K35" s="3">
        <x:f t="shared" si="10"/>
        <x:v>-53.7489233419466</x:v>
      </x:c>
      <x:c r="L35" s="3">
        <x:f t="shared" si="10"/>
        <x:v>-47.288360910762265</x:v>
      </x:c>
      <x:c r="M35" s="3">
        <x:f t="shared" si="10"/>
        <x:v>-50.711639089237721</x:v>
      </x:c>
      <x:c r="N35" s="3">
        <x:f t="shared" si="10"/>
        <x:v>-52.297396017438437</x:v>
      </x:c>
      <x:c r="O35" s="3">
        <x:f t="shared" si="10"/>
        <x:v>-56.702603982561563</x:v>
      </x:c>
      <x:c r="P35" s="3">
        <x:f t="shared" si="10"/>
        <x:v>-67.57479224376732</x:v>
      </x:c>
      <x:c r="Q35" s="3">
        <x:f t="shared" si="10"/>
        <x:v>-71.42520775623268</x:v>
      </x:c>
      <x:c r="R35" s="40" t="n">
        <x:f>-R27*Assumptions!$D$51</x:f>
        <x:v>-69.09187186629526</x:v>
      </x:c>
      <x:c r="S35" s="40" t="n">
        <x:f>-S27*Assumptions!$D$51</x:f>
        <x:v>-70.81916866295262</x:v>
      </x:c>
      <x:c r="T35" s="40" t="n">
        <x:f>-T27*Assumptions!$D$51</x:f>
        <x:v>-72.58964787952644</x:v>
      </x:c>
      <x:c r="U35" s="40" t="n">
        <x:f>-U27*Assumptions!$D$51</x:f>
        <x:v>-74.4043890765146</x:v>
      </x:c>
      <x:c r="V35" s="40" t="n">
        <x:f>-V27*Assumptions!$D$51</x:f>
        <x:v>-76.26449880342746</x:v>
      </x:c>
      <x:c r="W35" s="40" t="n">
        <x:f>-W27*Assumptions!$D$51</x:f>
        <x:v>-78.17111127351316</x:v>
      </x:c>
    </x:row>
    <x:row r="36" ht="19" customHeight="1">
      <x:c r="A36" s="2"/>
      <x:c r="B36" s="2"/>
      <x:c r="C36" s="2" t="s">
        <x:v>146</x:v>
      </x:c>
      <x:c r="D36" s="3" t="n">
        <x:f t="shared" ref="D36:Q36" si="11">-D70*D28/SUM(D66:D67)</x:f>
        <x:v>-2.635294117647059</x:v>
      </x:c>
      <x:c r="E36" s="3">
        <x:f t="shared" si="11"/>
        <x:v>-23.71764705882353</x:v>
      </x:c>
      <x:c r="F36" s="3">
        <x:f t="shared" si="11"/>
        <x:v>-9.5322033898305083</x:v>
      </x:c>
      <x:c r="G36" s="3">
        <x:f t="shared" si="11"/>
        <x:v>-85.78983050847458</x:v>
      </x:c>
      <x:c r="H36" s="3">
        <x:f t="shared" si="11"/>
        <x:v>-8.7033492822966512</x:v>
      </x:c>
      <x:c r="I36" s="3">
        <x:f t="shared" si="11"/>
        <x:v>-78.330143540669852</x:v>
      </x:c>
      <x:c r="J36" s="3">
        <x:f t="shared" si="11"/>
        <x:v>-8.0662251655629138</x:v>
      </x:c>
      <x:c r="K36" s="3">
        <x:f t="shared" si="11"/>
        <x:v>-72.596026490066222</x:v>
      </x:c>
      <x:c r="L36" s="3">
        <x:f t="shared" si="11"/>
        <x:v>-4.9081395348837216</x:v>
      </x:c>
      <x:c r="M36" s="3">
        <x:f t="shared" si="11"/>
        <x:v>-44.173255813953489</x:v>
      </x:c>
      <x:c r="N36" s="3">
        <x:f t="shared" si="11"/>
        <x:v>-12.03175965665236</x:v>
      </x:c>
      <x:c r="O36" s="3">
        <x:f t="shared" si="11"/>
        <x:v>-108.28583690987124</x:v>
      </x:c>
      <x:c r="P36" s="3">
        <x:f t="shared" si="11"/>
        <x:v>-10.028</x:v>
      </x:c>
      <x:c r="Q36" s="3">
        <x:f t="shared" si="11"/>
        <x:v>-90.25200000000001</x:v>
      </x:c>
      <x:c r="R36" s="40" t="n">
        <x:f>-R28*Assumptions!$D$52</x:f>
        <x:v>-13.014420062695924</x:v>
      </x:c>
      <x:c r="S36" s="40" t="n">
        <x:f>-S28*Assumptions!$D$52</x:f>
        <x:v>-117.12978056426331</x:v>
      </x:c>
      <x:c r="T36" s="40" t="n">
        <x:f>-T28*Assumptions!$D$52</x:f>
        <x:v>-4.074608150470219</x:v>
      </x:c>
      <x:c r="U36" s="40" t="n">
        <x:f>-U28*Assumptions!$D$52</x:f>
        <x:v>-36.67147335423198</x:v>
      </x:c>
      <x:c r="V36" s="40" t="n">
        <x:f>-V28*Assumptions!$D$52</x:f>
        <x:v>-13.014420062695924</x:v>
      </x:c>
      <x:c r="W36" s="40" t="n">
        <x:f>-W28*Assumptions!$D$52</x:f>
        <x:v>-117.12978056426331</x:v>
      </x:c>
    </x:row>
    <x:row r="37" ht="19" customHeight="1">
      <x:c r="A37" s="2"/>
      <x:c r="B37" s="2"/>
      <x:c r="C37" s="2" t="s">
        <x:v>147</x:v>
      </x:c>
      <x:c r="D37" s="3" t="n">
        <x:f t="shared" ref="D37:Q37" si="12">-D70*D29/SUM(D66:D67)</x:f>
        <x:v>-7.823529411764706</x:v>
      </x:c>
      <x:c r="E37" s="3">
        <x:f t="shared" si="12"/>
        <x:v>-7.8235294117647056</x:v>
      </x:c>
      <x:c r="F37" s="3">
        <x:f t="shared" si="12"/>
        <x:v>-9.3389830508474585</x:v>
      </x:c>
      <x:c r="G37" s="3">
        <x:f t="shared" si="12"/>
        <x:v>-9.3389830508474585</x:v>
      </x:c>
      <x:c r="H37" s="3">
        <x:f t="shared" si="12"/>
        <x:v>-9.9832535885167459</x:v>
      </x:c>
      <x:c r="I37" s="3">
        <x:f t="shared" si="12"/>
        <x:v>-9.9832535885167459</x:v>
      </x:c>
      <x:c r="J37" s="3">
        <x:f t="shared" si="12"/>
        <x:v>-3.1688741721854305</x:v>
      </x:c>
      <x:c r="K37" s="3">
        <x:f t="shared" si="12"/>
        <x:v>-3.1688741721854305</x:v>
      </x:c>
      <x:c r="L37" s="3">
        <x:f t="shared" si="12"/>
        <x:v>-6.9593023255813957</x:v>
      </x:c>
      <x:c r="M37" s="3">
        <x:f t="shared" si="12"/>
        <x:v>-6.9593023255813957</x:v>
      </x:c>
      <x:c r="N37" s="3">
        <x:f t="shared" si="12"/>
        <x:v>-5.3412017167381975</x:v>
      </x:c>
      <x:c r="O37" s="3">
        <x:f t="shared" si="12"/>
        <x:v>-5.3412017167381975</x:v>
      </x:c>
      <x:c r="P37" s="3">
        <x:f t="shared" si="12"/>
        <x:v>-4.3600000000000003</x:v>
      </x:c>
      <x:c r="Q37" s="3">
        <x:f t="shared" si="12"/>
        <x:v>-4.3600000000000003</x:v>
      </x:c>
      <x:c r="R37" s="40" t="n">
        <x:f>-R29*Assumptions!$D$52</x:f>
        <x:v>-5.777429467084639</x:v>
      </x:c>
      <x:c r="S37" s="40" t="n">
        <x:f>-S29*Assumptions!$D$52</x:f>
        <x:v>-5.777429467084639</x:v>
      </x:c>
      <x:c r="T37" s="40" t="n">
        <x:f>-T29*Assumptions!$D$52</x:f>
        <x:v>-5.777429467084639</x:v>
      </x:c>
      <x:c r="U37" s="40" t="n">
        <x:f>-U29*Assumptions!$D$52</x:f>
        <x:v>-5.777429467084639</x:v>
      </x:c>
      <x:c r="V37" s="40" t="n">
        <x:f>-V29*Assumptions!$D$52</x:f>
        <x:v>-5.777429467084639</x:v>
      </x:c>
      <x:c r="W37" s="40" t="n">
        <x:f>-W29*Assumptions!$D$52</x:f>
        <x:v>-5.777429467084639</x:v>
      </x:c>
    </x:row>
    <x:row r="38" ht="19" customHeight="1">
      <x:c r="A38" s="2"/>
      <x:c r="B38" s="2"/>
      <x:c r="C38" s="41" t="s">
        <x:v>148</x:v>
      </x:c>
      <x:c r="D38" s="42" t="n">
        <x:f t="shared" ref="D38:W38" si="13">SUM(D34:D37)</x:f>
        <x:v>-117.26169827273827</x:v>
      </x:c>
      <x:c r="E38" s="42">
        <x:f t="shared" si="13"/>
        <x:v>-139.73830172726173</x:v>
      </x:c>
      <x:c r="F38" s="42">
        <x:f t="shared" si="13"/>
        <x:v>-129.60295077983008</x:v>
      </x:c>
      <x:c r="G38" s="42">
        <x:f t="shared" si="13"/>
        <x:v>-208.39704922016989</x:v>
      </x:c>
      <x:c r="H38" s="42">
        <x:f t="shared" si="13"/>
        <x:v>-143.28866857157368</x:v>
      </x:c>
      <x:c r="I38" s="42">
        <x:f t="shared" si="13"/>
        <x:v>-214.71133142842632</x:v>
      </x:c>
      <x:c r="J38" s="42">
        <x:f t="shared" si="13"/>
        <x:v>-131.48617599580177</x:v>
      </x:c>
      <x:c r="K38" s="42">
        <x:f t="shared" si="13"/>
        <x:v>-194.51382400419828</x:v>
      </x:c>
      <x:c r="L38" s="42">
        <x:f t="shared" si="13"/>
        <x:v>-129.65580277122737</x:v>
      </x:c>
      <x:c r="M38" s="42">
        <x:f t="shared" si="13"/>
        <x:v>-172.3441972287726</x:v>
      </x:c>
      <x:c r="N38" s="42">
        <x:f t="shared" si="13"/>
        <x:v>-136.170357390829</x:v>
      </x:c>
      <x:c r="O38" s="42">
        <x:f t="shared" si="13"/>
        <x:v>-236.82964260917097</x:v>
      </x:c>
      <x:c r="P38" s="42">
        <x:f t="shared" si="13"/>
        <x:v>-153.46279224376732</x:v>
      </x:c>
      <x:c r="Q38" s="42">
        <x:f t="shared" si="13"/>
        <x:v>-237.5372077562327</x:v>
      </x:c>
      <x:c r="R38" s="43">
        <x:f t="shared" si="13"/>
        <x:v>-156.38372139607583</x:v>
      </x:c>
      <x:c r="S38" s="43">
        <x:f t="shared" si="13"/>
        <x:v>-262.22637869430059</x:v>
      </x:c>
      <x:c r="T38" s="43">
        <x:f t="shared" si="13"/>
        <x:v>-150.94168549708129</x:v>
      </x:c>
      <x:c r="U38" s="43">
        <x:f t="shared" si="13"/>
        <x:v>-185.35329189783121</x:v>
      </x:c>
      <x:c r="V38" s="43">
        <x:f t="shared" si="13"/>
        <x:v>-163.55634833320801</x:v>
      </x:c>
      <x:c r="W38" s="43">
        <x:f t="shared" si="13"/>
        <x:v>-269.57832130486111</x:v>
      </x:c>
    </x:row>
    <x:row r="39" ht="19" customHeight="1">
      <x:c r="A39" s="2"/>
      <x:c r="B39" s="2"/>
      <x:c r="C39" s="2" t="s">
        <x:v>149</x:v>
      </x:c>
      <x:c r="D39" s="3" t="n">
        <x:f t="shared" ref="D39:Q39" si="14">-D72*D63</x:f>
        <x:v>-13.305954825462013</x:v>
      </x:c>
      <x:c r="E39" s="3">
        <x:f t="shared" si="14"/>
        <x:v>-13.694045174537989</x:v>
      </x:c>
      <x:c r="F39" s="3">
        <x:f t="shared" si="14"/>
        <x:v>-15.118298004987533</x:v>
      </x:c>
      <x:c r="G39" s="3">
        <x:f t="shared" si="14"/>
        <x:v>-15.881701995012468</x:v>
      </x:c>
      <x:c r="H39" s="3">
        <x:f t="shared" si="14"/>
        <x:v>-16.246736479701621</x:v>
      </x:c>
      <x:c r="I39" s="3">
        <x:f t="shared" si="14"/>
        <x:v>-16.753263520298383</x:v>
      </x:c>
      <x:c r="J39" s="3">
        <x:f t="shared" si="14"/>
        <x:v>-17.234280792420329</x:v>
      </x:c>
      <x:c r="K39" s="3">
        <x:f t="shared" si="14"/>
        <x:v>-16.765719207579671</x:v>
      </x:c>
      <x:c r="L39" s="3">
        <x:f t="shared" si="14"/>
        <x:v>-16.888700325272239</x:v>
      </x:c>
      <x:c r="M39" s="3">
        <x:f t="shared" si="14"/>
        <x:v>-18.111299674727757</x:v>
      </x:c>
      <x:c r="N39" s="3">
        <x:f t="shared" si="14"/>
        <x:v>-18.232119712501472</x:v>
      </x:c>
      <x:c r="O39" s="3">
        <x:f t="shared" si="14"/>
        <x:v>-19.767880287498528</x:v>
      </x:c>
      <x:c r="P39" s="3">
        <x:f t="shared" si="14"/>
        <x:v>-18.95983379501385</x:v>
      </x:c>
      <x:c r="Q39" s="3">
        <x:f t="shared" si="14"/>
        <x:v>-20.04016620498615</x:v>
      </x:c>
      <x:c r="R39" s="40" t="n">
        <x:f>-R18*Assumptions!$D$49*Assumptions!$D$53/Assumptions!$D$60*Assumptions!$D$48</x:f>
        <x:v>-24.09591207096027</x:v>
      </x:c>
      <x:c r="S39" s="40" t="n">
        <x:f>-S18*Assumptions!$D$49*Assumptions!$D$53/Assumptions!$D$60*Assumptions!$D$48</x:f>
        <x:v>-24.69830987273427</x:v>
      </x:c>
      <x:c r="T39" s="40" t="n">
        <x:f>-T18*Assumptions!$D$49*Assumptions!$D$53/Assumptions!$D$60*Assumptions!$D$48</x:f>
        <x:v>-25.31576761955263</x:v>
      </x:c>
      <x:c r="U39" s="40" t="n">
        <x:f>-U18*Assumptions!$D$49*Assumptions!$D$53/Assumptions!$D$60*Assumptions!$D$48</x:f>
        <x:v>-25.948661810041447</x:v>
      </x:c>
      <x:c r="V39" s="40" t="n">
        <x:f>-V18*Assumptions!$D$49*Assumptions!$D$53/Assumptions!$D$60*Assumptions!$D$48</x:f>
        <x:v>-26.59737835529248</x:v>
      </x:c>
      <x:c r="W39" s="40" t="n">
        <x:f>-W18*Assumptions!$D$49*Assumptions!$D$53/Assumptions!$D$60*Assumptions!$D$48</x:f>
        <x:v>-27.262312814174795</x:v>
      </x:c>
    </x:row>
    <x:row r="40" ht="19" customHeight="1">
      <x:c r="A40" s="2"/>
      <x:c r="B40" s="2"/>
      <x:c r="C40" s="2" t="s">
        <x:v>150</x:v>
      </x:c>
      <x:c r="D40" s="7" t="n">
        <x:f>-D71*Assumptions!$D$43</x:f>
        <x:v>-43</x:v>
      </x:c>
      <x:c r="E40" s="7" t="n">
        <x:f>-E71*Assumptions!$D$43</x:f>
        <x:v>-43</x:v>
      </x:c>
      <x:c r="F40" s="7" t="n">
        <x:f>-F71*Assumptions!$D$43</x:f>
        <x:v>-46.5</x:v>
      </x:c>
      <x:c r="G40" s="7" t="n">
        <x:f>-G71*Assumptions!$D$43</x:f>
        <x:v>-46.5</x:v>
      </x:c>
      <x:c r="H40" s="7" t="n">
        <x:f>-H71*Assumptions!$D$43</x:f>
        <x:v>-46.5</x:v>
      </x:c>
      <x:c r="I40" s="7" t="n">
        <x:f>-I71*Assumptions!$D$43</x:f>
        <x:v>-46.5</x:v>
      </x:c>
      <x:c r="J40" s="7" t="n">
        <x:f>-J71*Assumptions!$D$43</x:f>
        <x:v>-53</x:v>
      </x:c>
      <x:c r="K40" s="7" t="n">
        <x:f>-K71*Assumptions!$D$43</x:f>
        <x:v>-53</x:v>
      </x:c>
      <x:c r="L40" s="7" t="n">
        <x:f>-L71*Assumptions!$D$43</x:f>
        <x:v>-55</x:v>
      </x:c>
      <x:c r="M40" s="7" t="n">
        <x:f>-M71*Assumptions!$D$43</x:f>
        <x:v>-55</x:v>
      </x:c>
      <x:c r="N40" s="7" t="n">
        <x:f>-N71*Assumptions!$D$43</x:f>
        <x:v>-52.5</x:v>
      </x:c>
      <x:c r="O40" s="7" t="n">
        <x:f>-O71*Assumptions!$D$43</x:f>
        <x:v>-52.5</x:v>
      </x:c>
      <x:c r="P40" s="7" t="n">
        <x:f>-P71*Assumptions!$D$43</x:f>
        <x:v>-56.5</x:v>
      </x:c>
      <x:c r="Q40" s="7" t="n">
        <x:f>-Q71*Assumptions!$D$43</x:f>
        <x:v>-56.5</x:v>
      </x:c>
      <x:c r="R40" s="40" t="n">
        <x:f>-Assumptions!$D$55</x:f>
        <x:v>-53.75</x:v>
      </x:c>
      <x:c r="S40" s="40" t="n">
        <x:f>-Assumptions!$D$55</x:f>
        <x:v>-53.75</x:v>
      </x:c>
      <x:c r="T40" s="40" t="n">
        <x:f>-Assumptions!$D$55</x:f>
        <x:v>-53.75</x:v>
      </x:c>
      <x:c r="U40" s="40" t="n">
        <x:f>-Assumptions!$D$55</x:f>
        <x:v>-53.75</x:v>
      </x:c>
      <x:c r="V40" s="40" t="n">
        <x:f>-Assumptions!$D$55</x:f>
        <x:v>-53.75</x:v>
      </x:c>
      <x:c r="W40" s="40" t="n">
        <x:f>-Assumptions!$D$55</x:f>
        <x:v>-53.75</x:v>
      </x:c>
    </x:row>
    <x:row r="41" ht="19" customHeight="1">
      <x:c r="A41" s="2"/>
      <x:c r="B41" s="2"/>
      <x:c r="C41" s="2" t="s">
        <x:v>151</x:v>
      </x:c>
      <x:c r="D41" s="7" t="n">
        <x:f>-D74*Assumptions!$D$43</x:f>
        <x:v>0</x:v>
      </x:c>
      <x:c r="E41" s="7" t="n">
        <x:f>-E74*Assumptions!$D$43</x:f>
        <x:v>0</x:v>
      </x:c>
      <x:c r="F41" s="7" t="n">
        <x:f>-F74*Assumptions!$D$43</x:f>
        <x:v>-1</x:v>
      </x:c>
      <x:c r="G41" s="7" t="n">
        <x:f>-G74*Assumptions!$D$43</x:f>
        <x:v>-1</x:v>
      </x:c>
      <x:c r="H41" s="7" t="n">
        <x:f>-H74*Assumptions!$D$43</x:f>
        <x:v>-1.5</x:v>
      </x:c>
      <x:c r="I41" s="7" t="n">
        <x:f>-I74*Assumptions!$D$43</x:f>
        <x:v>-1.5</x:v>
      </x:c>
      <x:c r="J41" s="7" t="n">
        <x:f>-J74*Assumptions!$D$43</x:f>
        <x:v>-3.5</x:v>
      </x:c>
      <x:c r="K41" s="7" t="n">
        <x:f>-K74*Assumptions!$D$43</x:f>
        <x:v>-3.5</x:v>
      </x:c>
      <x:c r="L41" s="7" t="n">
        <x:f>-L74*Assumptions!$D$43</x:f>
        <x:v>-1</x:v>
      </x:c>
      <x:c r="M41" s="7" t="n">
        <x:f>-M74*Assumptions!$D$43</x:f>
        <x:v>-1</x:v>
      </x:c>
      <x:c r="N41" s="7" t="n">
        <x:f>-N74*Assumptions!$D$43</x:f>
        <x:v>-2.5</x:v>
      </x:c>
      <x:c r="O41" s="7" t="n">
        <x:f>-O74*Assumptions!$D$43</x:f>
        <x:v>-2.5</x:v>
      </x:c>
      <x:c r="P41" s="7" t="n">
        <x:f>-P74*Assumptions!$D$43</x:f>
        <x:v>-1.5</x:v>
      </x:c>
      <x:c r="Q41" s="7" t="n">
        <x:f>-Q74*Assumptions!$D$43</x:f>
        <x:v>-1.5</x:v>
      </x:c>
      <x:c r="R41" s="40" t="n">
        <x:f>-Assumptions!$D$62</x:f>
        <x:v>-1.75</x:v>
      </x:c>
      <x:c r="S41" s="40" t="n">
        <x:f>-Assumptions!$D$62</x:f>
        <x:v>-1.75</x:v>
      </x:c>
      <x:c r="T41" s="40" t="n">
        <x:f>-Assumptions!$D$62</x:f>
        <x:v>-1.75</x:v>
      </x:c>
      <x:c r="U41" s="40" t="n">
        <x:f>-Assumptions!$D$62</x:f>
        <x:v>-1.75</x:v>
      </x:c>
      <x:c r="V41" s="40" t="n">
        <x:f>-Assumptions!$D$62</x:f>
        <x:v>-1.75</x:v>
      </x:c>
      <x:c r="W41" s="40" t="n">
        <x:f>-Assumptions!$D$62</x:f>
        <x:v>-1.75</x:v>
      </x:c>
    </x:row>
    <x:row r="42" ht="19" customHeight="1">
      <x:c r="A42" s="2"/>
      <x:c r="B42" s="2"/>
      <x:c r="C42" s="41" t="s">
        <x:v>152</x:v>
      </x:c>
      <x:c r="D42" s="42" t="n">
        <x:f t="shared" ref="D42:W42" si="15">SUM(D38:D41)</x:f>
        <x:v>-173.56765309820028</x:v>
      </x:c>
      <x:c r="E42" s="42">
        <x:f t="shared" si="15"/>
        <x:v>-196.43234690179972</x:v>
      </x:c>
      <x:c r="F42" s="42">
        <x:f t="shared" si="15"/>
        <x:v>-192.22124878481762</x:v>
      </x:c>
      <x:c r="G42" s="42">
        <x:f t="shared" si="15"/>
        <x:v>-271.77875121518235</x:v>
      </x:c>
      <x:c r="H42" s="42">
        <x:f t="shared" si="15"/>
        <x:v>-207.53540505127529</x:v>
      </x:c>
      <x:c r="I42" s="42">
        <x:f t="shared" si="15"/>
        <x:v>-279.46459494872471</x:v>
      </x:c>
      <x:c r="J42" s="42">
        <x:f t="shared" si="15"/>
        <x:v>-205.22045678822209</x:v>
      </x:c>
      <x:c r="K42" s="42">
        <x:f t="shared" si="15"/>
        <x:v>-267.77954321177799</x:v>
      </x:c>
      <x:c r="L42" s="42">
        <x:f t="shared" si="15"/>
        <x:v>-202.54450309649962</x:v>
      </x:c>
      <x:c r="M42" s="42">
        <x:f t="shared" si="15"/>
        <x:v>-246.45549690350035</x:v>
      </x:c>
      <x:c r="N42" s="42">
        <x:f t="shared" si="15"/>
        <x:v>-209.40247710333045</x:v>
      </x:c>
      <x:c r="O42" s="42">
        <x:f t="shared" si="15"/>
        <x:v>-311.59752289666949</x:v>
      </x:c>
      <x:c r="P42" s="42">
        <x:f t="shared" si="15"/>
        <x:v>-230.42262603878117</x:v>
      </x:c>
      <x:c r="Q42" s="42">
        <x:f t="shared" si="15"/>
        <x:v>-315.57737396121888</x:v>
      </x:c>
      <x:c r="R42" s="43">
        <x:f t="shared" si="15"/>
        <x:v>-235.97963346703611</x:v>
      </x:c>
      <x:c r="S42" s="43">
        <x:f t="shared" si="15"/>
        <x:v>-342.42468856703488</x:v>
      </x:c>
      <x:c r="T42" s="43">
        <x:f t="shared" si="15"/>
        <x:v>-231.75745311663394</x:v>
      </x:c>
      <x:c r="U42" s="43">
        <x:f t="shared" si="15"/>
        <x:v>-266.80195370787266</x:v>
      </x:c>
      <x:c r="V42" s="43">
        <x:f t="shared" si="15"/>
        <x:v>-245.65372668850048</x:v>
      </x:c>
      <x:c r="W42" s="43">
        <x:f t="shared" si="15"/>
        <x:v>-352.34063411903588</x:v>
      </x:c>
    </x:row>
    <x:row r="43" ht="19" customHeight="1">
      <x:c r="A43" s="2"/>
      <x:c r="B43" s="2"/>
      <x:c r="C43" s="2" t="s">
        <x:v>153</x:v>
      </x:c>
      <x:c r="D43" s="3" t="n">
        <x:f t="shared" ref="D43:W43" si="16">SUM(D27:D28,D30,D42)</x:f>
        <x:v>57.3263920763377</x:v>
      </x:c>
      <x:c r="E43" s="3">
        <x:f t="shared" si="16"/>
        <x:v>66.673607923662274</x:v>
      </x:c>
      <x:c r="F43" s="3">
        <x:f t="shared" si="16"/>
        <x:v>69.385328521915568</x:v>
      </x:c>
      <x:c r="G43" s="3">
        <x:f t="shared" si="16"/>
        <x:v>120.61467147808452</x:v>
      </x:c>
      <x:c r="H43" s="3">
        <x:f t="shared" si="16"/>
        <x:v>81.235861624954794</x:v>
      </x:c>
      <x:c r="I43" s="3">
        <x:f t="shared" si="16"/>
        <x:v>153.76413837504521</x:v>
      </x:c>
      <x:c r="J43" s="3">
        <x:f t="shared" si="16"/>
        <x:v>86.041817113586745</x:v>
      </x:c>
      <x:c r="K43" s="3">
        <x:f t="shared" si="16"/>
        <x:v>127.95818288641323</x:v>
      </x:c>
      <x:c r="L43" s="3">
        <x:f t="shared" si="16"/>
        <x:v>54.12572742252172</x:v>
      </x:c>
      <x:c r="M43" s="3">
        <x:f t="shared" si="16"/>
        <x:v>81.874272577478251</x:v>
      </x:c>
      <x:c r="N43" s="3">
        <x:f t="shared" si="16"/>
        <x:v>81.181392344059645</x:v>
      </x:c>
      <x:c r="O43" s="3">
        <x:f t="shared" si="16"/>
        <x:v>172.81860765594035</x:v>
      </x:c>
      <x:c r="P43" s="3">
        <x:f t="shared" si="16"/>
        <x:v>95.593163434903033</x:v>
      </x:c>
      <x:c r="Q43" s="3">
        <x:f t="shared" si="16"/>
        <x:v>193.40683656509691</x:v>
      </x:c>
      <x:c r="R43" s="39">
        <x:f t="shared" si="16"/>
        <x:v>145.39836653296382</x:v>
      </x:c>
      <x:c r="S43" s="39">
        <x:f t="shared" si="16"/>
        <x:v>219.14026143296496</x:v>
      </x:c>
      <x:c r="T43" s="39">
        <x:f t="shared" si="16"/>
        <x:v>153.11912063336587</x:v>
      </x:c>
      <x:c r="U43" s="39">
        <x:f t="shared" si="16"/>
        <x:v>181.11653438587723</x:v>
      </x:c>
      <x:c r="V43" s="39">
        <x:f t="shared" si="16"/>
        <x:v>173.04272360759305</x:v>
      </x:c>
      <x:c r="W43" s="39">
        <x:f t="shared" si="16"/>
        <x:v>247.47572743446011</x:v>
      </x:c>
    </x:row>
    <x:row r="44" ht="19" customHeight="1">
      <x:c r="A44" s="2"/>
      <x:c r="B44" s="2"/>
      <x:c r="C44" s="41" t="s">
        <x:v>154</x:v>
      </x:c>
      <x:c r="D44" s="42" t="n">
        <x:f t="shared" ref="D44:W44" si="17">SUM(D31,D42)</x:f>
        <x:v>66.8263920763377</x:v>
      </x:c>
      <x:c r="E44" s="42">
        <x:f t="shared" si="17"/>
        <x:v>76.173607923662274</x:v>
      </x:c>
      <x:c r="F44" s="42">
        <x:f t="shared" si="17"/>
        <x:v>83.885328521915568</x:v>
      </x:c>
      <x:c r="G44" s="42">
        <x:f t="shared" si="17"/>
        <x:v>135.11467147808452</x:v>
      </x:c>
      <x:c r="H44" s="42">
        <x:f t="shared" si="17"/>
        <x:v>100.73586162495479</x:v>
      </x:c>
      <x:c r="I44" s="42">
        <x:f t="shared" si="17"/>
        <x:v>173.26413837504521</x:v>
      </x:c>
      <x:c r="J44" s="42">
        <x:f t="shared" si="17"/>
        <x:v>91.541817113586745</x:v>
      </x:c>
      <x:c r="K44" s="42">
        <x:f t="shared" si="17"/>
        <x:v>133.45818288641323</x:v>
      </x:c>
      <x:c r="L44" s="42">
        <x:f t="shared" si="17"/>
        <x:v>63.62572742252172</x:v>
      </x:c>
      <x:c r="M44" s="42">
        <x:f t="shared" si="17"/>
        <x:v>91.374272577478251</x:v>
      </x:c>
      <x:c r="N44" s="42">
        <x:f t="shared" si="17"/>
        <x:v>90.681392344059645</x:v>
      </x:c>
      <x:c r="O44" s="42">
        <x:f t="shared" si="17"/>
        <x:v>182.31860765594035</x:v>
      </x:c>
      <x:c r="P44" s="42">
        <x:f t="shared" si="17"/>
        <x:v>104.59316343490303</x:v>
      </x:c>
      <x:c r="Q44" s="42">
        <x:f t="shared" si="17"/>
        <x:v>202.40683656509691</x:v>
      </x:c>
      <x:c r="R44" s="43">
        <x:f t="shared" si="17"/>
        <x:v>154.89836653296382</x:v>
      </x:c>
      <x:c r="S44" s="43">
        <x:f t="shared" si="17"/>
        <x:v>228.64026143296496</x:v>
      </x:c>
      <x:c r="T44" s="43">
        <x:f t="shared" si="17"/>
        <x:v>162.61912063336587</x:v>
      </x:c>
      <x:c r="U44" s="43">
        <x:f t="shared" si="17"/>
        <x:v>190.61653438587723</x:v>
      </x:c>
      <x:c r="V44" s="43">
        <x:f t="shared" si="17"/>
        <x:v>182.54272360759305</x:v>
      </x:c>
      <x:c r="W44" s="43">
        <x:f t="shared" si="17"/>
        <x:v>256.97572743446011</x:v>
      </x:c>
    </x:row>
    <x:row r="45" ht="19" customHeight="1">
      <x:c r="A45" s="2"/>
      <x:c r="B45" s="2"/>
      <x:c r="C45" s="2"/>
      <x:c r="D45" s="3"/>
      <x:c r="E45" s="3"/>
      <x:c r="F45" s="3"/>
      <x:c r="G45" s="3"/>
      <x:c r="H45" s="3"/>
      <x:c r="I45" s="3"/>
      <x:c r="J45" s="3"/>
      <x:c r="K45" s="3"/>
      <x:c r="L45" s="3"/>
      <x:c r="M45" s="3"/>
      <x:c r="N45" s="3"/>
      <x:c r="O45" s="3"/>
      <x:c r="P45" s="3"/>
      <x:c r="Q45" s="3"/>
      <x:c r="R45" s="39"/>
      <x:c r="S45" s="39"/>
      <x:c r="T45" s="39"/>
      <x:c r="U45" s="39"/>
      <x:c r="V45" s="39"/>
      <x:c r="W45" s="39"/>
    </x:row>
    <x:row r="46" ht="19" customHeight="1">
      <x:c r="A46" s="2"/>
      <x:c r="B46" s="2"/>
      <x:c r="C46" s="11" t="s">
        <x:v>155</x:v>
      </x:c>
      <x:c r="D46" s="12"/>
      <x:c r="E46" s="12"/>
      <x:c r="F46" s="12"/>
      <x:c r="G46" s="12"/>
      <x:c r="H46" s="12"/>
      <x:c r="I46" s="12"/>
      <x:c r="J46" s="12"/>
      <x:c r="K46" s="12"/>
      <x:c r="L46" s="12"/>
      <x:c r="M46" s="12"/>
      <x:c r="N46" s="12"/>
      <x:c r="O46" s="12"/>
      <x:c r="P46" s="12"/>
      <x:c r="Q46" s="12"/>
      <x:c r="R46" s="38"/>
      <x:c r="S46" s="38"/>
      <x:c r="T46" s="38"/>
      <x:c r="U46" s="38"/>
      <x:c r="V46" s="38"/>
      <x:c r="W46" s="38"/>
    </x:row>
    <x:row r="47" ht="19" customHeight="1">
      <x:c r="A47" s="2"/>
      <x:c r="B47" s="2"/>
      <x:c r="C47" s="2" t="s">
        <x:v>156</x:v>
      </x:c>
      <x:c r="D47" s="7" t="n">
        <x:f>-D75*Assumptions!$D$43</x:f>
        <x:v>-0.5</x:v>
      </x:c>
      <x:c r="E47" s="7" t="n">
        <x:f>-E75*Assumptions!$D$43</x:f>
        <x:v>-0.5</x:v>
      </x:c>
      <x:c r="F47" s="7" t="n">
        <x:f>-F75*Assumptions!$D$43</x:f>
        <x:v>-4</x:v>
      </x:c>
      <x:c r="G47" s="7" t="n">
        <x:f>-G75*Assumptions!$D$43</x:f>
        <x:v>-4</x:v>
      </x:c>
      <x:c r="H47" s="7" t="n">
        <x:f>-H75*Assumptions!$D$43</x:f>
        <x:v>-4</x:v>
      </x:c>
      <x:c r="I47" s="7" t="n">
        <x:f>-I75*Assumptions!$D$43</x:f>
        <x:v>-4</x:v>
      </x:c>
      <x:c r="J47" s="7" t="n">
        <x:f>-J75*Assumptions!$D$43</x:f>
        <x:v>0</x:v>
      </x:c>
      <x:c r="K47" s="7" t="n">
        <x:f>-K75*Assumptions!$D$43</x:f>
        <x:v>0</x:v>
      </x:c>
      <x:c r="L47" s="7" t="n">
        <x:f>-L75*Assumptions!$D$43</x:f>
        <x:v>-0.5</x:v>
      </x:c>
      <x:c r="M47" s="7" t="n">
        <x:f>-M75*Assumptions!$D$43</x:f>
        <x:v>-0.5</x:v>
      </x:c>
      <x:c r="N47" s="7" t="n">
        <x:f>-N75*Assumptions!$D$43</x:f>
        <x:v>-3</x:v>
      </x:c>
      <x:c r="O47" s="7" t="n">
        <x:f>-O75*Assumptions!$D$43</x:f>
        <x:v>-3</x:v>
      </x:c>
      <x:c r="P47" s="7" t="n">
        <x:f>-P75*Assumptions!$D$43</x:f>
        <x:v>-2</x:v>
      </x:c>
      <x:c r="Q47" s="7" t="n">
        <x:f>-Q75*Assumptions!$D$43</x:f>
        <x:v>-2</x:v>
      </x:c>
      <x:c r="R47" s="40" t="n">
        <x:f>-Assumptions!$D$63</x:f>
        <x:v>-1.75</x:v>
      </x:c>
      <x:c r="S47" s="40" t="n">
        <x:f>-Assumptions!$D$63</x:f>
        <x:v>-1.75</x:v>
      </x:c>
      <x:c r="T47" s="40" t="n">
        <x:f>-Assumptions!$D$63</x:f>
        <x:v>-1.75</x:v>
      </x:c>
      <x:c r="U47" s="40" t="n">
        <x:f>-Assumptions!$D$63</x:f>
        <x:v>-1.75</x:v>
      </x:c>
      <x:c r="V47" s="40" t="n">
        <x:f>-Assumptions!$D$63</x:f>
        <x:v>-1.75</x:v>
      </x:c>
      <x:c r="W47" s="40" t="n">
        <x:f>-Assumptions!$D$63</x:f>
        <x:v>-1.75</x:v>
      </x:c>
    </x:row>
    <x:row r="48" ht="19" customHeight="1">
      <x:c r="A48" s="2"/>
      <x:c r="B48" s="2"/>
      <x:c r="C48" s="2" t="s">
        <x:v>157</x:v>
      </x:c>
      <x:c r="D48" s="7" t="n">
        <x:f>-D76*Assumptions!$D$43</x:f>
        <x:v>-2.5</x:v>
      </x:c>
      <x:c r="E48" s="7" t="n">
        <x:f>-E76*Assumptions!$D$43</x:f>
        <x:v>-2.5</x:v>
      </x:c>
      <x:c r="F48" s="7" t="n">
        <x:f>-F76*Assumptions!$D$43</x:f>
        <x:v>-3.5</x:v>
      </x:c>
      <x:c r="G48" s="7" t="n">
        <x:f>-G76*Assumptions!$D$43</x:f>
        <x:v>-3.5</x:v>
      </x:c>
      <x:c r="H48" s="7" t="n">
        <x:f>-H76*Assumptions!$D$43</x:f>
        <x:v>-3.5</x:v>
      </x:c>
      <x:c r="I48" s="7" t="n">
        <x:f>-I76*Assumptions!$D$43</x:f>
        <x:v>-3.5</x:v>
      </x:c>
      <x:c r="J48" s="7" t="n">
        <x:f>-J76*Assumptions!$D$43</x:f>
        <x:v>-4</x:v>
      </x:c>
      <x:c r="K48" s="7" t="n">
        <x:f>-K76*Assumptions!$D$43</x:f>
        <x:v>-4</x:v>
      </x:c>
      <x:c r="L48" s="7" t="n">
        <x:f>-L76*Assumptions!$D$43</x:f>
        <x:v>-3.5</x:v>
      </x:c>
      <x:c r="M48" s="7" t="n">
        <x:f>-M76*Assumptions!$D$43</x:f>
        <x:v>-3.5</x:v>
      </x:c>
      <x:c r="N48" s="7" t="n">
        <x:f>-N76*Assumptions!$D$43</x:f>
        <x:v>-2</x:v>
      </x:c>
      <x:c r="O48" s="7" t="n">
        <x:f>-O76*Assumptions!$D$43</x:f>
        <x:v>-2</x:v>
      </x:c>
      <x:c r="P48" s="7" t="n">
        <x:f>-P76*Assumptions!$D$43</x:f>
        <x:v>-2.5</x:v>
      </x:c>
      <x:c r="Q48" s="7" t="n">
        <x:f>-Q76*Assumptions!$D$43</x:f>
        <x:v>-2.5</x:v>
      </x:c>
      <x:c r="R48" s="40" t="n">
        <x:f>-Assumptions!$D$64</x:f>
        <x:v>-2.75</x:v>
      </x:c>
      <x:c r="S48" s="40" t="n">
        <x:f>-Assumptions!$D$64</x:f>
        <x:v>-2.75</x:v>
      </x:c>
      <x:c r="T48" s="40" t="n">
        <x:f>-Assumptions!$D$64</x:f>
        <x:v>-2.75</x:v>
      </x:c>
      <x:c r="U48" s="40" t="n">
        <x:f>-Assumptions!$D$64</x:f>
        <x:v>-2.75</x:v>
      </x:c>
      <x:c r="V48" s="40" t="n">
        <x:f>-Assumptions!$D$64</x:f>
        <x:v>-2.75</x:v>
      </x:c>
      <x:c r="W48" s="40" t="n">
        <x:f>-Assumptions!$D$64</x:f>
        <x:v>-2.75</x:v>
      </x:c>
    </x:row>
    <x:row r="49" ht="19" customHeight="1">
      <x:c r="A49" s="2"/>
      <x:c r="B49" s="2"/>
      <x:c r="C49" s="2" t="s">
        <x:v>158</x:v>
      </x:c>
      <x:c r="D49" s="7" t="n">
        <x:f>-D77*Assumptions!$D$43</x:f>
        <x:v>0</x:v>
      </x:c>
      <x:c r="E49" s="7" t="n">
        <x:f>-E77*Assumptions!$D$43</x:f>
        <x:v>0</x:v>
      </x:c>
      <x:c r="F49" s="7" t="n">
        <x:f>-F77*Assumptions!$D$43</x:f>
        <x:v>-0.5</x:v>
      </x:c>
      <x:c r="G49" s="7" t="n">
        <x:f>-G77*Assumptions!$D$43</x:f>
        <x:v>-0.5</x:v>
      </x:c>
      <x:c r="H49" s="7" t="n">
        <x:f>-H77*Assumptions!$D$43</x:f>
        <x:v>-0.5</x:v>
      </x:c>
      <x:c r="I49" s="7" t="n">
        <x:f>-I77*Assumptions!$D$43</x:f>
        <x:v>-0.5</x:v>
      </x:c>
      <x:c r="J49" s="7" t="n">
        <x:f>-J77*Assumptions!$D$43</x:f>
        <x:v>-0.5</x:v>
      </x:c>
      <x:c r="K49" s="7" t="n">
        <x:f>-K77*Assumptions!$D$43</x:f>
        <x:v>-0.5</x:v>
      </x:c>
      <x:c r="L49" s="7" t="n">
        <x:f>-L77*Assumptions!$D$43</x:f>
        <x:v>-0.5</x:v>
      </x:c>
      <x:c r="M49" s="7" t="n">
        <x:f>-M77*Assumptions!$D$43</x:f>
        <x:v>-0.5</x:v>
      </x:c>
      <x:c r="N49" s="7" t="n">
        <x:f>-N77*Assumptions!$D$43</x:f>
        <x:v>-0.5</x:v>
      </x:c>
      <x:c r="O49" s="7" t="n">
        <x:f>-O77*Assumptions!$D$43</x:f>
        <x:v>-0.5</x:v>
      </x:c>
      <x:c r="P49" s="7" t="n">
        <x:f>-P77*Assumptions!$D$43</x:f>
        <x:v>-0.5</x:v>
      </x:c>
      <x:c r="Q49" s="7" t="n">
        <x:f>-Q77*Assumptions!$D$43</x:f>
        <x:v>-0.5</x:v>
      </x:c>
      <x:c r="R49" s="40" t="n">
        <x:f>-Assumptions!$D$65</x:f>
        <x:v>-0.5</x:v>
      </x:c>
      <x:c r="S49" s="40" t="n">
        <x:f>-Assumptions!$D$65</x:f>
        <x:v>-0.5</x:v>
      </x:c>
      <x:c r="T49" s="40" t="n">
        <x:f>-Assumptions!$D$65</x:f>
        <x:v>-0.5</x:v>
      </x:c>
      <x:c r="U49" s="40" t="n">
        <x:f>-Assumptions!$D$65</x:f>
        <x:v>-0.5</x:v>
      </x:c>
      <x:c r="V49" s="40" t="n">
        <x:f>-Assumptions!$D$65</x:f>
        <x:v>-0.5</x:v>
      </x:c>
      <x:c r="W49" s="40" t="n">
        <x:f>-Assumptions!$D$65</x:f>
        <x:v>-0.5</x:v>
      </x:c>
    </x:row>
    <x:row r="50" ht="19" customHeight="1">
      <x:c r="A50" s="2"/>
      <x:c r="B50" s="2"/>
      <x:c r="C50" s="2" t="s">
        <x:v>159</x:v>
      </x:c>
      <x:c r="D50" s="3" t="n">
        <x:f t="shared" ref="D50:Q50" si="18">-D78*D64</x:f>
        <x:v>0</x:v>
      </x:c>
      <x:c r="E50" s="3">
        <x:f t="shared" si="18"/>
        <x:v>0</x:v>
      </x:c>
      <x:c r="F50" s="3">
        <x:f t="shared" si="18"/>
        <x:v>0</x:v>
      </x:c>
      <x:c r="G50" s="3">
        <x:f t="shared" si="18"/>
        <x:v>0</x:v>
      </x:c>
      <x:c r="H50" s="3">
        <x:f t="shared" si="18"/>
        <x:v>-0.1</x:v>
      </x:c>
      <x:c r="I50" s="3">
        <x:f t="shared" si="18"/>
        <x:v>-0.9</x:v>
      </x:c>
      <x:c r="J50" s="3">
        <x:f t="shared" si="18"/>
        <x:v>0</x:v>
      </x:c>
      <x:c r="K50" s="3">
        <x:f t="shared" si="18"/>
        <x:v>0</x:v>
      </x:c>
      <x:c r="L50" s="3">
        <x:f t="shared" si="18"/>
        <x:v>0</x:v>
      </x:c>
      <x:c r="M50" s="3">
        <x:f t="shared" si="18"/>
        <x:v>0</x:v>
      </x:c>
      <x:c r="N50" s="3">
        <x:f t="shared" si="18"/>
        <x:v>-0.1</x:v>
      </x:c>
      <x:c r="O50" s="3">
        <x:f t="shared" si="18"/>
        <x:v>-0.9</x:v>
      </x:c>
      <x:c r="P50" s="3">
        <x:f t="shared" si="18"/>
        <x:v>0</x:v>
      </x:c>
      <x:c r="Q50" s="3">
        <x:f t="shared" si="18"/>
        <x:v>0</x:v>
      </x:c>
      <x:c r="R50" s="40" t="n">
        <x:f>-R28*Assumptions!$D$66</x:f>
        <x:v>-0.07615658362989325</x:v>
      </x:c>
      <x:c r="S50" s="40" t="n">
        <x:f>-S28*Assumptions!$D$66</x:f>
        <x:v>-0.6854092526690391</x:v>
      </x:c>
      <x:c r="T50" s="40" t="n">
        <x:f>-T28*Assumptions!$D$66</x:f>
        <x:v>-0.02384341637010676</x:v>
      </x:c>
      <x:c r="U50" s="40" t="n">
        <x:f>-U28*Assumptions!$D$66</x:f>
        <x:v>-0.21459074733096087</x:v>
      </x:c>
      <x:c r="V50" s="40" t="n">
        <x:f>-V28*Assumptions!$D$66</x:f>
        <x:v>-0.07615658362989325</x:v>
      </x:c>
      <x:c r="W50" s="40" t="n">
        <x:f>-W28*Assumptions!$D$66</x:f>
        <x:v>-0.6854092526690391</x:v>
      </x:c>
    </x:row>
    <x:row r="51" ht="19" customHeight="1">
      <x:c r="A51" s="2"/>
      <x:c r="B51" s="2"/>
      <x:c r="C51" s="41" t="s">
        <x:v>160</x:v>
      </x:c>
      <x:c r="D51" s="42" t="n">
        <x:f t="shared" ref="D51:W51" si="19">SUM(D27,D30,D34:D35,D39:D41,D47,D49)</x:f>
        <x:v>64.08521560574948</x:v>
      </x:c>
      <x:c r="E51" s="42">
        <x:f t="shared" si="19"/>
        <x:v>68.914784394250503</x:v>
      </x:c>
      <x:c r="F51" s="42">
        <x:f t="shared" si="19"/>
        <x:v>68.956514962593531</x:v>
      </x:c>
      <x:c r="G51" s="42">
        <x:f t="shared" si="19"/>
        <x:v>78.043485037406469</x:v>
      </x:c>
      <x:c r="H51" s="42">
        <x:f t="shared" si="19"/>
        <x:v>78.422464495768168</x:v>
      </x:c>
      <x:c r="I51" s="42">
        <x:f t="shared" si="19"/>
        <x:v>84.577535504231804</x:v>
      </x:c>
      <x:c r="J51" s="42">
        <x:f t="shared" si="19"/>
        <x:v>82.776916451335097</x:v>
      </x:c>
      <x:c r="K51" s="42">
        <x:f t="shared" si="19"/>
        <x:v>77.223083548664931</x:v>
      </x:c>
      <x:c r="L51" s="42">
        <x:f t="shared" si="19"/>
        <x:v>58.293169282986824</x:v>
      </x:c>
      <x:c r="M51" s="42">
        <x:f t="shared" si="19"/>
        <x:v>71.706830717013105</x:v>
      </x:c>
      <x:c r="N51" s="42">
        <x:f t="shared" si="19"/>
        <x:v>73.654353717450192</x:v>
      </x:c>
      <x:c r="O51" s="42">
        <x:f t="shared" si="19"/>
        <x:v>90.345646282549808</x:v>
      </x:c>
      <x:c r="P51" s="42">
        <x:f t="shared" si="19"/>
        <x:v>86.78116343490305</x:v>
      </x:c>
      <x:c r="Q51" s="42">
        <x:f t="shared" si="19"/>
        <x:v>99.21883656509695</x:v>
      </x:c>
      <x:c r="R51" s="43">
        <x:f t="shared" si="19"/>
        <x:v>140.54021606274441</x:v>
      </x:c>
      <x:c r="S51" s="43">
        <x:f t="shared" si="19"/>
        <x:v>147.19747146431291</x:v>
      </x:c>
      <x:c r="T51" s="43">
        <x:f t="shared" si="19"/>
        <x:v>154.02115825092073</x:v>
      </x:c>
      <x:c r="U51" s="43">
        <x:f t="shared" si="19"/>
        <x:v>161.01543720719383</x:v>
      </x:c>
      <x:c r="V51" s="43">
        <x:f t="shared" si="19"/>
        <x:v>168.18457313737363</x:v>
      </x:c>
      <x:c r="W51" s="43">
        <x:f t="shared" si="19"/>
        <x:v>175.53293746580803</x:v>
      </x:c>
    </x:row>
    <x:row r="52" ht="19" customHeight="1">
      <x:c r="A52" s="2"/>
      <x:c r="B52" s="2"/>
      <x:c r="C52" s="41" t="s">
        <x:v>161</x:v>
      </x:c>
      <x:c r="D52" s="42" t="n">
        <x:f t="shared" ref="D52:W52" si="20">SUM(D28:D29,D36:D37,D48,D50)</x:f>
        <x:v>-0.25882352941176556</x:v>
      </x:c>
      <x:c r="E52" s="42">
        <x:f t="shared" si="20"/>
        <x:v>4.2588235294117611</x:v>
      </x:c>
      <x:c r="F52" s="42">
        <x:f t="shared" si="20"/>
        <x:v>6.9288135593220321</x:v>
      </x:c>
      <x:c r="G52" s="42">
        <x:f t="shared" si="20"/>
        <x:v>49.071186440677977</x:v>
      </x:c>
      <x:c r="H52" s="42">
        <x:f t="shared" si="20"/>
        <x:v>14.213397129186605</x:v>
      </x:c>
      <x:c r="I52" s="42">
        <x:f t="shared" si="20"/>
        <x:v>79.786602870813397</x:v>
      </x:c>
      <x:c r="J52" s="42">
        <x:f t="shared" si="20"/>
        <x:v>4.2649006622516552</x:v>
      </x:c>
      <x:c r="K52" s="42">
        <x:f t="shared" si="20"/>
        <x:v>51.735099337748345</x:v>
      </x:c>
      <x:c r="L52" s="42">
        <x:f t="shared" si="20"/>
        <x:v>0.832558139534882</x:v>
      </x:c>
      <x:c r="M52" s="42">
        <x:f t="shared" si="20"/>
        <x:v>15.167441860465125</x:v>
      </x:c>
      <x:c r="N52" s="42">
        <x:f t="shared" si="20"/>
        <x:v>11.427038626609447</x:v>
      </x:c>
      <x:c r="O52" s="42">
        <x:f t="shared" si="20"/>
        <x:v>85.572961373390555</x:v>
      </x:c>
      <x:c r="P52" s="42">
        <x:f t="shared" si="20"/>
        <x:v>12.812000000000005</x:v>
      </x:c>
      <x:c r="Q52" s="42">
        <x:f t="shared" si="20"/>
        <x:v>98.188000000000002</x:v>
      </x:c>
      <x:c r="R52" s="43">
        <x:f t="shared" si="20"/>
        <x:v>9.2819938865895466</x:v>
      </x:c>
      <x:c r="S52" s="43">
        <x:f t="shared" si="20"/>
        <x:v>75.757380715983004</x:v>
      </x:c>
      <x:c r="T52" s="43">
        <x:f t="shared" si="20"/>
        <x:v>3.5741189660750345</x:v>
      </x:c>
      <x:c r="U52" s="43">
        <x:f t="shared" si="20"/>
        <x:v>24.386506431352437</x:v>
      </x:c>
      <x:c r="V52" s="43">
        <x:f t="shared" si="20"/>
        <x:v>9.2819938865895466</x:v>
      </x:c>
      <x:c r="W52" s="43">
        <x:f t="shared" si="20"/>
        <x:v>75.757380715983004</x:v>
      </x:c>
    </x:row>
    <x:row r="53" ht="19" customHeight="1">
      <x:c r="A53" s="2"/>
      <x:c r="B53" s="2"/>
      <x:c r="C53" s="41" t="s">
        <x:v>162</x:v>
      </x:c>
      <x:c r="D53" s="42" t="n">
        <x:f t="shared" ref="D53:W53" si="21">SUM(D51:D52)</x:f>
        <x:v>63.82639207633772</x:v>
      </x:c>
      <x:c r="E53" s="42">
        <x:f t="shared" si="21"/>
        <x:v>73.17360792366226</x:v>
      </x:c>
      <x:c r="F53" s="42">
        <x:f t="shared" si="21"/>
        <x:v>75.885328521915568</x:v>
      </x:c>
      <x:c r="G53" s="42">
        <x:f t="shared" si="21"/>
        <x:v>127.11467147808445</x:v>
      </x:c>
      <x:c r="H53" s="42">
        <x:f t="shared" si="21"/>
        <x:v>92.635861624954771</x:v>
      </x:c>
      <x:c r="I53" s="42">
        <x:f t="shared" si="21"/>
        <x:v>164.3641383750452</x:v>
      </x:c>
      <x:c r="J53" s="42">
        <x:f t="shared" si="21"/>
        <x:v>87.041817113586745</x:v>
      </x:c>
      <x:c r="K53" s="42">
        <x:f t="shared" si="21"/>
        <x:v>128.95818288641328</x:v>
      </x:c>
      <x:c r="L53" s="42">
        <x:f t="shared" si="21"/>
        <x:v>59.125727422521706</x:v>
      </x:c>
      <x:c r="M53" s="42">
        <x:f t="shared" si="21"/>
        <x:v>86.874272577478223</x:v>
      </x:c>
      <x:c r="N53" s="42">
        <x:f t="shared" si="21"/>
        <x:v>85.081392344059637</x:v>
      </x:c>
      <x:c r="O53" s="42">
        <x:f t="shared" si="21"/>
        <x:v>175.91860765594038</x:v>
      </x:c>
      <x:c r="P53" s="42">
        <x:f t="shared" si="21"/>
        <x:v>99.593163434903062</x:v>
      </x:c>
      <x:c r="Q53" s="42">
        <x:f t="shared" si="21"/>
        <x:v>197.40683656509697</x:v>
      </x:c>
      <x:c r="R53" s="43">
        <x:f t="shared" si="21"/>
        <x:v>149.82220994933397</x:v>
      </x:c>
      <x:c r="S53" s="43">
        <x:f t="shared" si="21"/>
        <x:v>222.95485218029592</x:v>
      </x:c>
      <x:c r="T53" s="43">
        <x:f t="shared" si="21"/>
        <x:v>157.59527721699578</x:v>
      </x:c>
      <x:c r="U53" s="43">
        <x:f t="shared" si="21"/>
        <x:v>185.40194363854627</x:v>
      </x:c>
      <x:c r="V53" s="43">
        <x:f t="shared" si="21"/>
        <x:v>177.46656702396319</x:v>
      </x:c>
      <x:c r="W53" s="43">
        <x:f t="shared" si="21"/>
        <x:v>251.29031818179104</x:v>
      </x:c>
    </x:row>
    <x:row r="54" ht="19" customHeight="1">
      <x:c r="A54" s="2"/>
      <x:c r="B54" s="2"/>
      <x:c r="C54" s="2" t="s">
        <x:v>163</x:v>
      </x:c>
      <x:c r="D54" s="3" t="n">
        <x:f t="shared" ref="D54:Q54" si="22">-D53*D79/D80</x:f>
        <x:v>-13.5106961329474</x:v>
      </x:c>
      <x:c r="E54" s="3">
        <x:f t="shared" si="22"/>
        <x:v>-15.489303867052596</x:v>
      </x:c>
      <x:c r="F54" s="3">
        <x:f t="shared" si="22"/>
        <x:v>-14.952774092988289</x:v>
      </x:c>
      <x:c r="G54" s="3">
        <x:f t="shared" si="22"/>
        <x:v>-25.047225907011711</x:v>
      </x:c>
      <x:c r="H54" s="3">
        <x:f t="shared" si="22"/>
        <x:v>-19.103893642500402</x:v>
      </x:c>
      <x:c r="I54" s="3">
        <x:f t="shared" si="22"/>
        <x:v>-33.896106357499598</x:v>
      </x:c>
      <x:c r="J54" s="3">
        <x:f t="shared" si="22"/>
        <x:v>-15.715883645508718</x:v>
      </x:c>
      <x:c r="K54" s="3">
        <x:f t="shared" si="22"/>
        <x:v>-23.284116354491289</x:v>
      </x:c>
      <x:c r="L54" s="3">
        <x:f t="shared" si="22"/>
        <x:v>-13.364034280432989</x:v>
      </x:c>
      <x:c r="M54" s="3">
        <x:f t="shared" si="22"/>
        <x:v>-19.635965719566997</x:v>
      </x:c>
      <x:c r="N54" s="3">
        <x:f t="shared" si="22"/>
        <x:v>-17.277064345728583</x:v>
      </x:c>
      <x:c r="O54" s="3">
        <x:f t="shared" si="22"/>
        <x:v>-35.722935654271417</x:v>
      </x:c>
      <x:c r="P54" s="3">
        <x:f t="shared" si="22"/>
        <x:v>-22.46714461326096</x:v>
      </x:c>
      <x:c r="Q54" s="3">
        <x:f t="shared" si="22"/>
        <x:v>-44.532855386739044</x:v>
      </x:c>
      <x:c r="R54" s="40" t="n">
        <x:f>-R53*Assumptions!$D$56</x:f>
        <x:v>-31.65776426447843</x:v>
      </x:c>
      <x:c r="S54" s="40" t="n">
        <x:f>-S53*Assumptions!$D$56</x:f>
        <x:v>-47.11085328625418</x:v>
      </x:c>
      <x:c r="T54" s="40" t="n">
        <x:f>-T53*Assumptions!$D$56</x:f>
        <x:v>-33.30023056673621</x:v>
      </x:c>
      <x:c r="U54" s="40" t="n">
        <x:f>-U53*Assumptions!$D$56</x:f>
        <x:v>-39.17584067055277</x:v>
      </x:c>
      <x:c r="V54" s="40" t="n">
        <x:f>-V53*Assumptions!$D$56</x:f>
        <x:v>-37.499078044375516</x:v>
      </x:c>
      <x:c r="W54" s="40" t="n">
        <x:f>-W53*Assumptions!$D$56</x:f>
        <x:v>-53.09819991064872</x:v>
      </x:c>
    </x:row>
    <x:row r="55" ht="19" customHeight="1">
      <x:c r="A55" s="2"/>
      <x:c r="B55" s="2"/>
      <x:c r="C55" s="41" t="s">
        <x:v>164</x:v>
      </x:c>
      <x:c r="D55" s="42" t="n">
        <x:f t="shared" ref="D55:W55" si="23">SUM(D53:D54)</x:f>
        <x:v>50.31569594339032</x:v>
      </x:c>
      <x:c r="E55" s="42">
        <x:f t="shared" si="23"/>
        <x:v>57.684304056609662</x:v>
      </x:c>
      <x:c r="F55" s="42">
        <x:f t="shared" si="23"/>
        <x:v>60.932554428927276</x:v>
      </x:c>
      <x:c r="G55" s="42">
        <x:f t="shared" si="23"/>
        <x:v>102.06744557107274</x:v>
      </x:c>
      <x:c r="H55" s="42">
        <x:f t="shared" si="23"/>
        <x:v>73.531967982454375</x:v>
      </x:c>
      <x:c r="I55" s="42">
        <x:f t="shared" si="23"/>
        <x:v>130.4680320175456</x:v>
      </x:c>
      <x:c r="J55" s="42">
        <x:f t="shared" si="23"/>
        <x:v>71.325933468078034</x:v>
      </x:c>
      <x:c r="K55" s="42">
        <x:f t="shared" si="23"/>
        <x:v>105.67406653192199</x:v>
      </x:c>
      <x:c r="L55" s="42">
        <x:f t="shared" si="23"/>
        <x:v>45.761693142088717</x:v>
      </x:c>
      <x:c r="M55" s="42">
        <x:f t="shared" si="23"/>
        <x:v>67.238306857911226</x:v>
      </x:c>
      <x:c r="N55" s="42">
        <x:f t="shared" si="23"/>
        <x:v>67.804327998331047</x:v>
      </x:c>
      <x:c r="O55" s="42">
        <x:f t="shared" si="23"/>
        <x:v>140.19567200166895</x:v>
      </x:c>
      <x:c r="P55" s="42">
        <x:f t="shared" si="23"/>
        <x:v>77.126018821642106</x:v>
      </x:c>
      <x:c r="Q55" s="42">
        <x:f t="shared" si="23"/>
        <x:v>152.87398117835792</x:v>
      </x:c>
      <x:c r="R55" s="43">
        <x:f t="shared" si="23"/>
        <x:v>118.16444568485554</x:v>
      </x:c>
      <x:c r="S55" s="43">
        <x:f t="shared" si="23"/>
        <x:v>175.84399889404173</x:v>
      </x:c>
      <x:c r="T55" s="43">
        <x:f t="shared" si="23"/>
        <x:v>124.29504665025956</x:v>
      </x:c>
      <x:c r="U55" s="43">
        <x:f t="shared" si="23"/>
        <x:v>146.22610296799348</x:v>
      </x:c>
      <x:c r="V55" s="43">
        <x:f t="shared" si="23"/>
        <x:v>139.96748897958767</x:v>
      </x:c>
      <x:c r="W55" s="43">
        <x:f t="shared" si="23"/>
        <x:v>198.19211827114231</x:v>
      </x:c>
    </x:row>
    <x:row r="56" ht="19" customHeight="1">
      <x:c r="A56" s="2"/>
      <x:c r="B56" s="2"/>
      <x:c r="C56" s="2" t="s">
        <x:v>165</x:v>
      </x:c>
      <x:c r="D56" s="3" t="n">
        <x:f t="shared" ref="D56:Q56" si="24">D81</x:f>
        <x:v>1217</x:v>
      </x:c>
      <x:c r="E56" s="3">
        <x:f t="shared" si="24"/>
        <x:v>1217</x:v>
      </x:c>
      <x:c r="F56" s="3">
        <x:f t="shared" si="24"/>
        <x:v>1197.2730235326089</x:v>
      </x:c>
      <x:c r="G56" s="3">
        <x:f t="shared" si="24"/>
        <x:v>1197.2730235326089</x:v>
      </x:c>
      <x:c r="H56" s="3">
        <x:f t="shared" si="24"/>
        <x:v>1192</x:v>
      </x:c>
      <x:c r="I56" s="3">
        <x:f t="shared" si="24"/>
        <x:v>1192</x:v>
      </x:c>
      <x:c r="J56" s="3">
        <x:f t="shared" si="24"/>
        <x:v>1186.1834742934784</x:v>
      </x:c>
      <x:c r="K56" s="3">
        <x:f t="shared" si="24"/>
        <x:v>1186.1834742934784</x:v>
      </x:c>
      <x:c r="L56" s="3">
        <x:f t="shared" si="24"/>
        <x:v>1168</x:v>
      </x:c>
      <x:c r="M56" s="3">
        <x:f t="shared" si="24"/>
        <x:v>1168</x:v>
      </x:c>
      <x:c r="N56" s="3">
        <x:f t="shared" si="24"/>
        <x:v>1161.8056484782608</x:v>
      </x:c>
      <x:c r="O56" s="3">
        <x:f t="shared" si="24"/>
        <x:v>1161.8056484782608</x:v>
      </x:c>
      <x:c r="P56" s="3">
        <x:f t="shared" si="24"/>
        <x:v>1153</x:v>
      </x:c>
      <x:c r="Q56" s="3">
        <x:f t="shared" si="24"/>
        <x:v>1153</x:v>
      </x:c>
      <x:c r="R56" s="40" t="n">
        <x:f>Assumptions!$D$57</x:f>
        <x:v>1164.877368</x:v>
      </x:c>
      <x:c r="S56" s="40" t="n">
        <x:f>Assumptions!$D$57</x:f>
        <x:v>1164.877368</x:v>
      </x:c>
      <x:c r="T56" s="40" t="n">
        <x:f>Assumptions!$D$57</x:f>
        <x:v>1164.877368</x:v>
      </x:c>
      <x:c r="U56" s="40" t="n">
        <x:f>Assumptions!$D$57</x:f>
        <x:v>1164.877368</x:v>
      </x:c>
      <x:c r="V56" s="40" t="n">
        <x:f>Assumptions!$D$57</x:f>
        <x:v>1164.877368</x:v>
      </x:c>
      <x:c r="W56" s="40" t="n">
        <x:f>Assumptions!$D$57</x:f>
        <x:v>1164.877368</x:v>
      </x:c>
    </x:row>
    <x:row r="57" ht="19" customHeight="1">
      <x:c r="A57" s="2"/>
      <x:c r="B57" s="2"/>
      <x:c r="C57" s="41" t="s">
        <x:v>32</x:v>
      </x:c>
      <x:c r="D57" s="50" t="n">
        <x:f>D55/D56*Assumptions!$D$61</x:f>
        <x:v>4.134403939473321</x:v>
      </x:c>
      <x:c r="E57" s="50" t="n">
        <x:f>E55/E56*Assumptions!$D$61</x:f>
        <x:v>4.739877079425609</x:v>
      </x:c>
      <x:c r="F57" s="50" t="n">
        <x:f>F55/F56*Assumptions!$D$61</x:f>
        <x:v>5.089278153878635</x:v>
      </x:c>
      <x:c r="G57" s="50" t="n">
        <x:f>G55/G56*Assumptions!$D$61</x:f>
        <x:v>8.524993344451882</x:v>
      </x:c>
      <x:c r="H57" s="50" t="n">
        <x:f>H55/H56*Assumptions!$D$61</x:f>
        <x:v>6.168789260273018</x:v>
      </x:c>
      <x:c r="I57" s="50" t="n">
        <x:f>I55/I56*Assumptions!$D$61</x:f>
        <x:v>10.945304699458523</x:v>
      </x:c>
      <x:c r="J57" s="50" t="n">
        <x:f>J55/J56*Assumptions!$D$61</x:f>
        <x:v>6.013060796565354</x:v>
      </x:c>
      <x:c r="K57" s="50" t="n">
        <x:f>K55/K56*Assumptions!$D$61</x:f>
        <x:v>8.908745469992676</x:v>
      </x:c>
      <x:c r="L57" s="50" t="n">
        <x:f>L55/L56*Assumptions!$D$61</x:f>
        <x:v>3.917953179973349</x:v>
      </x:c>
      <x:c r="M57" s="50" t="n">
        <x:f>M55/M56*Assumptions!$D$61</x:f>
        <x:v>5.7567043542732215</x:v>
      </x:c>
      <x:c r="N57" s="50" t="n">
        <x:f>N55/N56*Assumptions!$D$61</x:f>
        <x:v>5.836116228832379</x:v>
      </x:c>
      <x:c r="O57" s="50" t="n">
        <x:f>O55/O56*Assumptions!$D$61</x:f>
        <x:v>12.067050300994662</x:v>
      </x:c>
      <x:c r="P57" s="50" t="n">
        <x:f>P55/P56*Assumptions!$D$61</x:f>
        <x:v>6.689160348798101</x:v>
      </x:c>
      <x:c r="Q57" s="50" t="n">
        <x:f>Q55/Q56*Assumptions!$D$61</x:f>
        <x:v>13.2588014898836</x:v>
      </x:c>
      <x:c r="R57" s="51" t="n">
        <x:f>R55/R56*Assumptions!$D$61</x:f>
        <x:v>10.143938660919675</x:v>
      </x:c>
      <x:c r="S57" s="51" t="n">
        <x:f>S55/S56*Assumptions!$D$61</x:f>
        <x:v>15.095494489342826</x:v>
      </x:c>
      <x:c r="T57" s="51" t="n">
        <x:f>T55/T56*Assumptions!$D$61</x:f>
        <x:v>10.670225902290822</x:v>
      </x:c>
      <x:c r="U57" s="51" t="n">
        <x:f>U55/U56*Assumptions!$D$61</x:f>
        <x:v>12.552918185632866</x:v>
      </x:c>
      <x:c r="V57" s="51" t="n">
        <x:f>V55/V56*Assumptions!$D$61</x:f>
        <x:v>12.015641545161145</x:v>
      </x:c>
      <x:c r="W57" s="51" t="n">
        <x:f>W55/W56*Assumptions!$D$61</x:f>
        <x:v>17.013989945690344</x:v>
      </x:c>
    </x:row>
    <x:row r="58" ht="19" customHeight="1">
      <x:c r="A58" s="2"/>
      <x:c r="B58" s="2"/>
      <x:c r="C58" s="45" t="s">
        <x:v>166</x:v>
      </x:c>
      <x:c r="D58" s="46" t="n">
        <x:f t="shared" ref="D58:W58" si="25">D44/D31</x:f>
        <x:v>0.2779868861885428</x:v>
      </x:c>
      <x:c r="E58" s="46">
        <x:f t="shared" si="25"/>
        <x:v>0.27942752744500021</x:v>
      </x:c>
      <x:c r="F58" s="46">
        <x:f t="shared" si="25"/>
        <x:v>0.30381503164528173</x:v>
      </x:c>
      <x:c r="G58" s="46">
        <x:f t="shared" si="25"/>
        <x:v>0.33206403432070114</x:v>
      </x:c>
      <x:c r="H58" s="46">
        <x:f t="shared" si="25"/>
        <x:v>0.32677668182015568</x:v>
      </x:c>
      <x:c r="I58" s="46">
        <x:f t="shared" si="25"/>
        <x:v>0.38271071752615043</x:v>
      </x:c>
      <x:c r="J58" s="46">
        <x:f t="shared" si="25"/>
        <x:v>0.30846851222024141</x:v>
      </x:c>
      <x:c r="K58" s="46">
        <x:f t="shared" si="25"/>
        <x:v>0.33261623772076016</x:v>
      </x:c>
      <x:c r="L58" s="46">
        <x:f t="shared" si="25"/>
        <x:v>0.23904148596352826</x:v>
      </x:c>
      <x:c r="M58" s="46">
        <x:f t="shared" si="25"/>
        <x:v>0.27047430638768222</x:v>
      </x:c>
      <x:c r="N58" s="46">
        <x:f t="shared" si="25"/>
        <x:v>0.30218682700623356</x:v>
      </x:c>
      <x:c r="O58" s="46">
        <x:f t="shared" si="25"/>
        <x:v>0.36912867666815458</x:v>
      </x:c>
      <x:c r="P58" s="46">
        <x:f t="shared" si="25"/>
        <x:v>0.31220368329272108</x:v>
      </x:c>
      <x:c r="Q58" s="46">
        <x:f t="shared" si="25"/>
        <x:v>0.39075869968977323</x:v>
      </x:c>
      <x:c r="R58" s="47">
        <x:f t="shared" si="25"/>
        <x:v>0.39628315365143052</x:v>
      </x:c>
      <x:c r="S58" s="47">
        <x:f t="shared" si="25"/>
        <x:v>0.40037523128142433</x:v>
      </x:c>
      <x:c r="T58" s="47">
        <x:f t="shared" si="25"/>
        <x:v>0.41234477770084826</x:v>
      </x:c>
      <x:c r="U58" s="47">
        <x:f t="shared" si="25"/>
        <x:v>0.41672240923241727</x:v>
      </x:c>
      <x:c r="V58" s="47">
        <x:f t="shared" si="25"/>
        <x:v>0.42630601790688966</x:v>
      </x:c>
      <x:c r="W58" s="47">
        <x:f t="shared" si="25"/>
        <x:v>0.42174434111580716</x:v>
      </x:c>
    </x:row>
    <x:row r="59" ht="19" customHeight="1">
      <x:c r="A59" s="2"/>
      <x:c r="B59" s="2"/>
      <x:c r="C59" s="45" t="s">
        <x:v>167</x:v>
      </x:c>
      <x:c r="D59" s="46" t="n">
        <x:f t="shared" ref="D59:W59" si="26">D28/D31</x:f>
        <x:v>0.013311477818332154</x:v>
      </x:c>
      <x:c r="E59" s="46">
        <x:f t="shared" si="26"/>
        <x:v>0.1056469951965628</x:v>
      </x:c>
      <x:c r="F59" s="46">
        <x:f t="shared" si="26"/>
        <x:v>5.3602489822465689E-2</x:v>
      </x:c>
      <x:c r="G59" s="46">
        <x:f t="shared" si="26"/>
        <x:v>0.32735844958696148</x:v>
      </x:c>
      <x:c r="H59" s="46">
        <x:f t="shared" si="26"/>
        <x:v>5.5146235921671845E-2</x:v>
      </x:c>
      <x:c r="I59" s="46">
        <x:f t="shared" si="26"/>
        <x:v>0.33795071692651263</x:v>
      </x:c>
      <x:c r="J59" s="46">
        <x:f t="shared" si="26"/>
        <x:v>4.71758078138741E-2</x:v>
      </x:c>
      <x:c r="K59" s="46">
        <x:f t="shared" si="26"/>
        <x:v>0.31402829745168376</x:v>
      </x:c>
      <x:c r="L59" s="46">
        <x:f t="shared" si="26"/>
        <x:v>2.5171860831075161E-2</x:v>
      </x:c>
      <x:c r="M59" s="46">
        <x:f t="shared" si="26"/>
        <x:v>0.17849226281224803</x:v>
      </x:c>
      <x:c r="N59" s="46">
        <x:f t="shared" si="26"/>
        <x:v>7.1313396616114327E-2</x:v>
      </x:c>
      <x:c r="O59" s="46">
        <x:f t="shared" si="26"/>
        <x:v>0.38994474585090527</x:v>
      </x:c>
      <x:c r="P59" s="46">
        <x:f t="shared" si="26"/>
        <x:v>6.1788132531066887E-2</x:v>
      </x:c>
      <x:c r="Q59" s="46">
        <x:f t="shared" si="26"/>
        <x:v>0.35966347277401262</x:v>
      </x:c>
      <x:c r="R59" s="47">
        <x:f t="shared" si="26"/>
        <x:v>5.474854046531144E-2</x:v>
      </x:c>
      <x:c r="S59" s="47">
        <x:f t="shared" si="26"/>
        <x:v>0.33726461412138853</x:v>
      </x:c>
      <x:c r="T59" s="47">
        <x:f t="shared" si="26"/>
        <x:v>1.6988838703810061E-2</x:v>
      </x:c>
      <x:c r="U59" s="47">
        <x:f t="shared" si="26"/>
        <x:v>0.1318267660130984</x:v>
      </x:c>
      <x:c r="V59" s="47">
        <x:f t="shared" si="26"/>
        <x:v>4.9977060728088982E-2</x:v>
      </x:c>
      <x:c r="W59" s="47">
        <x:f t="shared" si="26"/>
        <x:v>0.31609195510350718</x:v>
      </x:c>
    </x:row>
    <x:row r="60" ht="19" customHeight="1">
      <x:c r="A60" s="2"/>
      <x:c r="B60" s="2"/>
      <x:c r="C60" s="45" t="s">
        <x:v>168</x:v>
      </x:c>
      <x:c r="D60" s="46" t="n">
        <x:f t="shared" ref="D60:W60" si="27">-D54/D53</x:f>
        <x:v>0.2116788321167883</x:v>
      </x:c>
      <x:c r="E60" s="46">
        <x:f t="shared" si="27"/>
        <x:v>0.21167883211678834</x:v>
      </x:c>
      <x:c r="F60" s="46">
        <x:f t="shared" si="27"/>
        <x:v>0.19704433497536944</x:v>
      </x:c>
      <x:c r="G60" s="46">
        <x:f t="shared" si="27"/>
        <x:v>0.19704433497536944</x:v>
      </x:c>
      <x:c r="H60" s="46">
        <x:f t="shared" si="27"/>
        <x:v>0.20622568093385216</x:v>
      </x:c>
      <x:c r="I60" s="46">
        <x:f t="shared" si="27"/>
        <x:v>0.20622568093385216</x:v>
      </x:c>
      <x:c r="J60" s="46">
        <x:f t="shared" si="27"/>
        <x:v>0.18055555555555555</x:v>
      </x:c>
      <x:c r="K60" s="46">
        <x:f t="shared" si="27"/>
        <x:v>0.18055555555555558</x:v>
      </x:c>
      <x:c r="L60" s="46">
        <x:f t="shared" si="27"/>
        <x:v>0.22602739726027399</x:v>
      </x:c>
      <x:c r="M60" s="46">
        <x:f t="shared" si="27"/>
        <x:v>0.22602739726027399</x:v>
      </x:c>
      <x:c r="N60" s="46">
        <x:f t="shared" si="27"/>
        <x:v>0.20306513409961682</x:v>
      </x:c>
      <x:c r="O60" s="46">
        <x:f t="shared" si="27"/>
        <x:v>0.20306513409961685</x:v>
      </x:c>
      <x:c r="P60" s="46">
        <x:f t="shared" si="27"/>
        <x:v>0.22558922558922559</x:v>
      </x:c>
      <x:c r="Q60" s="46">
        <x:f t="shared" si="27"/>
        <x:v>0.22558922558922559</x:v>
      </x:c>
      <x:c r="R60" s="47">
        <x:f t="shared" si="27"/>
        <x:v>0.2113022113022113</x:v>
      </x:c>
      <x:c r="S60" s="47">
        <x:f t="shared" si="27"/>
        <x:v>0.2113022113022113</x:v>
      </x:c>
      <x:c r="T60" s="47">
        <x:f t="shared" si="27"/>
        <x:v>0.2113022113022113</x:v>
      </x:c>
      <x:c r="U60" s="47">
        <x:f t="shared" si="27"/>
        <x:v>0.2113022113022113</x:v>
      </x:c>
      <x:c r="V60" s="47">
        <x:f t="shared" si="27"/>
        <x:v>0.2113022113022113</x:v>
      </x:c>
      <x:c r="W60" s="47">
        <x:f t="shared" si="27"/>
        <x:v>0.2113022113022113</x:v>
      </x:c>
    </x:row>
    <x:row r="61" ht="19" customHeight="1">
      <x:c r="A61" s="2"/>
      <x:c r="B61" s="2"/>
      <x:c r="C61" s="2"/>
      <x:c r="D61" s="3"/>
      <x:c r="E61" s="3"/>
      <x:c r="F61" s="3"/>
      <x:c r="G61" s="3"/>
      <x:c r="H61" s="3"/>
      <x:c r="I61" s="3"/>
      <x:c r="J61" s="3"/>
      <x:c r="K61" s="3"/>
      <x:c r="L61" s="3"/>
      <x:c r="M61" s="3"/>
      <x:c r="N61" s="3"/>
      <x:c r="O61" s="3"/>
      <x:c r="P61" s="3"/>
      <x:c r="Q61" s="3"/>
      <x:c r="R61" s="3"/>
      <x:c r="S61" s="3"/>
      <x:c r="T61" s="3"/>
      <x:c r="U61" s="3"/>
      <x:c r="V61" s="3"/>
      <x:c r="W61" s="3"/>
    </x:row>
    <x:row r="62" ht="19" customHeight="1">
      <x:c r="A62" s="2"/>
      <x:c r="B62" s="2"/>
      <x:c r="C62" s="11" t="s">
        <x:v>169</x:v>
      </x:c>
      <x:c r="D62" s="12"/>
      <x:c r="E62" s="12"/>
      <x:c r="F62" s="12"/>
      <x:c r="G62" s="12"/>
      <x:c r="H62" s="12"/>
      <x:c r="I62" s="12"/>
      <x:c r="J62" s="12"/>
      <x:c r="K62" s="12"/>
      <x:c r="L62" s="12"/>
      <x:c r="M62" s="12"/>
      <x:c r="N62" s="12"/>
      <x:c r="O62" s="12"/>
      <x:c r="P62" s="12"/>
      <x:c r="Q62" s="12"/>
      <x:c r="R62" s="12"/>
      <x:c r="S62" s="12"/>
      <x:c r="T62" s="12"/>
      <x:c r="U62" s="12"/>
      <x:c r="V62" s="12"/>
      <x:c r="W62" s="12"/>
    </x:row>
    <x:row r="63" ht="19" customHeight="1">
      <x:c r="A63" s="2"/>
      <x:c r="B63" s="2"/>
      <x:c r="C63" s="45" t="s">
        <x:v>170</x:v>
      </x:c>
      <x:c r="D63" s="46" t="n">
        <x:f>D18/SUM(D18:E18)</x:f>
        <x:v>0.49281314168377827</x:v>
      </x:c>
      <x:c r="E63" s="46" t="n">
        <x:f>E18/SUM(D18:E18)</x:f>
        <x:v>0.5071868583162218</x:v>
      </x:c>
      <x:c r="F63" s="46" t="n">
        <x:f>F18/SUM(F18:G18)</x:f>
        <x:v>0.48768703241895267</x:v>
      </x:c>
      <x:c r="G63" s="46" t="n">
        <x:f>G18/SUM(F18:G18)</x:f>
        <x:v>0.5123129675810474</x:v>
      </x:c>
      <x:c r="H63" s="46" t="n">
        <x:f>H18/SUM(H18:I18)</x:f>
        <x:v>0.4923253478697461</x:v>
      </x:c>
      <x:c r="I63" s="46" t="n">
        <x:f>I18/SUM(H18:I18)</x:f>
        <x:v>0.507674652130254</x:v>
      </x:c>
      <x:c r="J63" s="46" t="n">
        <x:f>J18/SUM(J18:K18)</x:f>
        <x:v>0.5068906115417744</x:v>
      </x:c>
      <x:c r="K63" s="46" t="n">
        <x:f>K18/SUM(J18:K18)</x:f>
        <x:v>0.49310938845822566</x:v>
      </x:c>
      <x:c r="L63" s="46" t="n">
        <x:f>L18/SUM(L18:M18)</x:f>
        <x:v>0.4825342950077782</x:v>
      </x:c>
      <x:c r="M63" s="46" t="n">
        <x:f>M18/SUM(L18:M18)</x:f>
        <x:v>0.5174657049922217</x:v>
      </x:c>
      <x:c r="N63" s="46" t="n">
        <x:f>N18/SUM(N18:O18)</x:f>
        <x:v>0.47979262401319667</x:v>
      </x:c>
      <x:c r="O63" s="46" t="n">
        <x:f>O18/SUM(N18:O18)</x:f>
        <x:v>0.5202073759868033</x:v>
      </x:c>
      <x:c r="P63" s="46" t="n">
        <x:f>P18/SUM(P18:Q18)</x:f>
        <x:v>0.48614958448753465</x:v>
      </x:c>
      <x:c r="Q63" s="46" t="n">
        <x:f>Q18/SUM(P18:Q18)</x:f>
        <x:v>0.5138504155124654</x:v>
      </x:c>
      <x:c r="R63" s="46"/>
      <x:c r="S63" s="46"/>
      <x:c r="T63" s="46"/>
      <x:c r="U63" s="46"/>
      <x:c r="V63" s="46"/>
      <x:c r="W63" s="46"/>
    </x:row>
    <x:row r="64" ht="19" customHeight="1">
      <x:c r="A64" s="2"/>
      <x:c r="B64" s="2"/>
      <x:c r="C64" s="45" t="s">
        <x:v>171</x:v>
      </x:c>
      <x:c r="D64" s="48" t="n">
        <x:f>Assumptions!$D$41</x:f>
        <x:v>0.1</x:v>
      </x:c>
      <x:c r="E64" s="48" t="n">
        <x:f>1-Assumptions!$D$41</x:f>
        <x:v>0.9</x:v>
      </x:c>
      <x:c r="F64" s="48" t="n">
        <x:f>Assumptions!$D$42</x:f>
        <x:v>0.1</x:v>
      </x:c>
      <x:c r="G64" s="48" t="n">
        <x:f>1-Assumptions!$D$42</x:f>
        <x:v>0.9</x:v>
      </x:c>
      <x:c r="H64" s="48" t="n">
        <x:f>Assumptions!$D$41</x:f>
        <x:v>0.1</x:v>
      </x:c>
      <x:c r="I64" s="48" t="n">
        <x:f>1-Assumptions!$D$41</x:f>
        <x:v>0.9</x:v>
      </x:c>
      <x:c r="J64" s="48" t="n">
        <x:f>Assumptions!$D$42</x:f>
        <x:v>0.1</x:v>
      </x:c>
      <x:c r="K64" s="48" t="n">
        <x:f>1-Assumptions!$D$42</x:f>
        <x:v>0.9</x:v>
      </x:c>
      <x:c r="L64" s="48" t="n">
        <x:f>Assumptions!$D$41</x:f>
        <x:v>0.1</x:v>
      </x:c>
      <x:c r="M64" s="48" t="n">
        <x:f>1-Assumptions!$D$41</x:f>
        <x:v>0.9</x:v>
      </x:c>
      <x:c r="N64" s="48" t="n">
        <x:f>Assumptions!$D$42</x:f>
        <x:v>0.1</x:v>
      </x:c>
      <x:c r="O64" s="48" t="n">
        <x:f>1-Assumptions!$D$42</x:f>
        <x:v>0.9</x:v>
      </x:c>
      <x:c r="P64" s="48" t="n">
        <x:f>Assumptions!$D$41</x:f>
        <x:v>0.1</x:v>
      </x:c>
      <x:c r="Q64" s="48" t="n">
        <x:f>1-Assumptions!$D$41</x:f>
        <x:v>0.9</x:v>
      </x:c>
      <x:c r="R64" s="46"/>
      <x:c r="S64" s="46"/>
      <x:c r="T64" s="46"/>
      <x:c r="U64" s="46"/>
      <x:c r="V64" s="46"/>
      <x:c r="W64" s="46"/>
    </x:row>
    <x:row r="65" ht="19" customHeight="1">
      <x:c r="A65" s="2"/>
      <x:c r="B65" s="2"/>
      <x:c r="C65" s="2" t="s">
        <x:v>172</x:v>
      </x:c>
      <x:c r="D65" s="7" t="n">
        <x:f>Disclosures!D22</x:f>
        <x:v>460</x:v>
      </x:c>
      <x:c r="E65" s="7" t="n">
        <x:f>Disclosures!D22</x:f>
        <x:v>460</x:v>
      </x:c>
      <x:c r="F65" s="7" t="n">
        <x:f>Disclosures!E22-Disclosures!D22</x:f>
        <x:v>503</x:v>
      </x:c>
      <x:c r="G65" s="7" t="n">
        <x:f>Disclosures!E22-Disclosures!D22</x:f>
        <x:v>503</x:v>
      </x:c>
      <x:c r="H65" s="7" t="n">
        <x:f>Disclosures!F22</x:f>
        <x:v>551</x:v>
      </x:c>
      <x:c r="I65" s="7" t="n">
        <x:f>Disclosures!F22</x:f>
        <x:v>551</x:v>
      </x:c>
      <x:c r="J65" s="7" t="n">
        <x:f>Disclosures!G22-Disclosures!F22</x:f>
        <x:v>546</x:v>
      </x:c>
      <x:c r="K65" s="7" t="n">
        <x:f>Disclosures!G22-Disclosures!F22</x:f>
        <x:v>546</x:v>
      </x:c>
      <x:c r="L65" s="7" t="n">
        <x:f>Disclosures!H22</x:f>
        <x:v>517</x:v>
      </x:c>
      <x:c r="M65" s="7" t="n">
        <x:f>Disclosures!H22</x:f>
        <x:v>517</x:v>
      </x:c>
      <x:c r="N65" s="7" t="n">
        <x:f>Disclosures!I22-Disclosures!H22</x:f>
        <x:v>560</x:v>
      </x:c>
      <x:c r="O65" s="7" t="n">
        <x:f>Disclosures!I22-Disclosures!H22</x:f>
        <x:v>560</x:v>
      </x:c>
      <x:c r="P65" s="7" t="n">
        <x:f>Disclosures!J22</x:f>
        <x:v>627</x:v>
      </x:c>
      <x:c r="Q65" s="7" t="n">
        <x:f>Disclosures!J22</x:f>
        <x:v>627</x:v>
      </x:c>
      <x:c r="R65" s="3"/>
      <x:c r="S65" s="3"/>
      <x:c r="T65" s="3"/>
      <x:c r="U65" s="3"/>
      <x:c r="V65" s="3"/>
      <x:c r="W65" s="3"/>
    </x:row>
    <x:row r="66" ht="19" customHeight="1">
      <x:c r="A66" s="2"/>
      <x:c r="B66" s="2"/>
      <x:c r="C66" s="2" t="s">
        <x:v>173</x:v>
      </x:c>
      <x:c r="D66" s="7" t="n">
        <x:f>Disclosures!D23</x:f>
        <x:v>32</x:v>
      </x:c>
      <x:c r="E66" s="7" t="n">
        <x:f>Disclosures!D23</x:f>
        <x:v>32</x:v>
      </x:c>
      <x:c r="F66" s="7" t="n">
        <x:f>Disclosures!E23-Disclosures!D23</x:f>
        <x:v>148</x:v>
      </x:c>
      <x:c r="G66" s="7" t="n">
        <x:f>Disclosures!E23-Disclosures!D23</x:f>
        <x:v>148</x:v>
      </x:c>
      <x:c r="H66" s="7" t="n">
        <x:f>Disclosures!F23</x:f>
        <x:v>170</x:v>
      </x:c>
      <x:c r="I66" s="7" t="n">
        <x:f>Disclosures!F23</x:f>
        <x:v>170</x:v>
      </x:c>
      <x:c r="J66" s="7" t="n">
        <x:f>Disclosures!G23-Disclosures!F23</x:f>
        <x:v>140</x:v>
      </x:c>
      <x:c r="K66" s="7" t="n">
        <x:f>Disclosures!G23-Disclosures!F23</x:f>
        <x:v>140</x:v>
      </x:c>
      <x:c r="L66" s="7" t="n">
        <x:f>Disclosures!H23</x:f>
        <x:v>67</x:v>
      </x:c>
      <x:c r="M66" s="7" t="n">
        <x:f>Disclosures!H23</x:f>
        <x:v>67</x:v>
      </x:c>
      <x:c r="N66" s="7" t="n">
        <x:f>Disclosures!I23-Disclosures!H23</x:f>
        <x:v>214</x:v>
      </x:c>
      <x:c r="O66" s="7" t="n">
        <x:f>Disclosures!I23-Disclosures!H23</x:f>
        <x:v>214</x:v>
      </x:c>
      <x:c r="P66" s="7" t="n">
        <x:f>Disclosures!J23</x:f>
        <x:v>207</x:v>
      </x:c>
      <x:c r="Q66" s="7" t="n">
        <x:f>Disclosures!J23</x:f>
        <x:v>207</x:v>
      </x:c>
      <x:c r="R66" s="3"/>
      <x:c r="S66" s="3"/>
      <x:c r="T66" s="3"/>
      <x:c r="U66" s="3"/>
      <x:c r="V66" s="3"/>
      <x:c r="W66" s="3"/>
    </x:row>
    <x:row r="67" ht="19" customHeight="1">
      <x:c r="A67" s="2"/>
      <x:c r="B67" s="2"/>
      <x:c r="C67" s="2" t="s">
        <x:v>174</x:v>
      </x:c>
      <x:c r="D67" s="7" t="n">
        <x:f>Disclosures!D24</x:f>
        <x:v>19</x:v>
      </x:c>
      <x:c r="E67" s="7" t="n">
        <x:f>Disclosures!D24</x:f>
        <x:v>19</x:v>
      </x:c>
      <x:c r="F67" s="7" t="n">
        <x:f>Disclosures!E24-Disclosures!D24</x:f>
        <x:v>29</x:v>
      </x:c>
      <x:c r="G67" s="7" t="n">
        <x:f>Disclosures!E24-Disclosures!D24</x:f>
        <x:v>29</x:v>
      </x:c>
      <x:c r="H67" s="7" t="n">
        <x:f>Disclosures!F24</x:f>
        <x:v>39</x:v>
      </x:c>
      <x:c r="I67" s="7" t="n">
        <x:f>Disclosures!F24</x:f>
        <x:v>39</x:v>
      </x:c>
      <x:c r="J67" s="7" t="n">
        <x:f>Disclosures!G24-Disclosures!F24</x:f>
        <x:v>11</x:v>
      </x:c>
      <x:c r="K67" s="7" t="n">
        <x:f>Disclosures!G24-Disclosures!F24</x:f>
        <x:v>11</x:v>
      </x:c>
      <x:c r="L67" s="7" t="n">
        <x:f>Disclosures!H24</x:f>
        <x:v>19</x:v>
      </x:c>
      <x:c r="M67" s="7" t="n">
        <x:f>Disclosures!H24</x:f>
        <x:v>19</x:v>
      </x:c>
      <x:c r="N67" s="7" t="n">
        <x:f>Disclosures!I24-Disclosures!H24</x:f>
        <x:v>19</x:v>
      </x:c>
      <x:c r="O67" s="7" t="n">
        <x:f>Disclosures!I24-Disclosures!H24</x:f>
        <x:v>19</x:v>
      </x:c>
      <x:c r="P67" s="7" t="n">
        <x:f>Disclosures!J24</x:f>
        <x:v>18</x:v>
      </x:c>
      <x:c r="Q67" s="7" t="n">
        <x:f>Disclosures!J24</x:f>
        <x:v>18</x:v>
      </x:c>
      <x:c r="R67" s="3"/>
      <x:c r="S67" s="3"/>
      <x:c r="T67" s="3"/>
      <x:c r="U67" s="3"/>
      <x:c r="V67" s="3"/>
      <x:c r="W67" s="3"/>
    </x:row>
    <x:row r="68" ht="19" customHeight="1">
      <x:c r="A68" s="2"/>
      <x:c r="B68" s="2"/>
      <x:c r="C68" s="2" t="s">
        <x:v>175</x:v>
      </x:c>
      <x:c r="D68" s="7" t="n">
        <x:f>Disclosures!D27</x:f>
        <x:v>118</x:v>
      </x:c>
      <x:c r="E68" s="7" t="n">
        <x:f>Disclosures!D27</x:f>
        <x:v>118</x:v>
      </x:c>
      <x:c r="F68" s="7" t="n">
        <x:f>Disclosures!E27-Disclosures!D27</x:f>
        <x:v>121</x:v>
      </x:c>
      <x:c r="G68" s="7" t="n">
        <x:f>Disclosures!E27-Disclosures!D27</x:f>
        <x:v>121</x:v>
      </x:c>
      <x:c r="H68" s="7" t="n">
        <x:f>Disclosures!F27</x:f>
        <x:v>134</x:v>
      </x:c>
      <x:c r="I68" s="7" t="n">
        <x:f>Disclosures!F27</x:f>
        <x:v>134</x:v>
      </x:c>
      <x:c r="J68" s="7" t="n">
        <x:f>Disclosures!G27-Disclosures!F27</x:f>
        <x:v>130</x:v>
      </x:c>
      <x:c r="K68" s="7" t="n">
        <x:f>Disclosures!G27-Disclosures!F27</x:f>
        <x:v>130</x:v>
      </x:c>
      <x:c r="L68" s="7" t="n">
        <x:f>Disclosures!H27</x:f>
        <x:v>141</x:v>
      </x:c>
      <x:c r="M68" s="7" t="n">
        <x:f>Disclosures!H27</x:f>
        <x:v>141</x:v>
      </x:c>
      <x:c r="N68" s="7" t="n">
        <x:f>Disclosures!I27-Disclosures!H27</x:f>
        <x:v>133</x:v>
      </x:c>
      <x:c r="O68" s="7" t="n">
        <x:f>Disclosures!I27-Disclosures!H27</x:f>
        <x:v>133</x:v>
      </x:c>
      <x:c r="P68" s="7" t="n">
        <x:f>Disclosures!J27</x:f>
        <x:v>143</x:v>
      </x:c>
      <x:c r="Q68" s="7" t="n">
        <x:f>Disclosures!J27</x:f>
        <x:v>143</x:v>
      </x:c>
      <x:c r="R68" s="3"/>
      <x:c r="S68" s="3"/>
      <x:c r="T68" s="3"/>
      <x:c r="U68" s="3"/>
      <x:c r="V68" s="3"/>
      <x:c r="W68" s="3"/>
    </x:row>
    <x:row r="69" ht="19" customHeight="1">
      <x:c r="A69" s="2"/>
      <x:c r="B69" s="2"/>
      <x:c r="C69" s="2" t="s">
        <x:v>176</x:v>
      </x:c>
      <x:c r="D69" s="7" t="n">
        <x:f>Disclosures!D28</x:f>
        <x:v>215</x:v>
      </x:c>
      <x:c r="E69" s="7" t="n">
        <x:f>Disclosures!D28</x:f>
        <x:v>215</x:v>
      </x:c>
      <x:c r="F69" s="7" t="n">
        <x:f>Disclosures!E28-Disclosures!D28</x:f>
        <x:v>224</x:v>
      </x:c>
      <x:c r="G69" s="7" t="n">
        <x:f>Disclosures!E28-Disclosures!D28</x:f>
        <x:v>224</x:v>
      </x:c>
      <x:c r="H69" s="7" t="n">
        <x:f>Disclosures!F28</x:f>
        <x:v>251</x:v>
      </x:c>
      <x:c r="I69" s="7" t="n">
        <x:f>Disclosures!F28</x:f>
        <x:v>251</x:v>
      </x:c>
      <x:c r="J69" s="7" t="n">
        <x:f>Disclosures!G28-Disclosures!F28</x:f>
        <x:v>239</x:v>
      </x:c>
      <x:c r="K69" s="7" t="n">
        <x:f>Disclosures!G28-Disclosures!F28</x:f>
        <x:v>239</x:v>
      </x:c>
      <x:c r="L69" s="7" t="n">
        <x:f>Disclosures!H28</x:f>
        <x:v>239</x:v>
      </x:c>
      <x:c r="M69" s="7" t="n">
        <x:f>Disclosures!H28</x:f>
        <x:v>239</x:v>
      </x:c>
      <x:c r="N69" s="7" t="n">
        <x:f>Disclosures!I28-Disclosures!H28</x:f>
        <x:v>242</x:v>
      </x:c>
      <x:c r="O69" s="7" t="n">
        <x:f>Disclosures!I28-Disclosures!H28</x:f>
        <x:v>242</x:v>
      </x:c>
      <x:c r="P69" s="7" t="n">
        <x:f>Disclosures!J28</x:f>
        <x:v>282</x:v>
      </x:c>
      <x:c r="Q69" s="7" t="n">
        <x:f>Disclosures!J28</x:f>
        <x:v>282</x:v>
      </x:c>
      <x:c r="R69" s="3"/>
      <x:c r="S69" s="3"/>
      <x:c r="T69" s="3"/>
      <x:c r="U69" s="3"/>
      <x:c r="V69" s="3"/>
      <x:c r="W69" s="3"/>
    </x:row>
    <x:row r="70" ht="19" customHeight="1">
      <x:c r="A70" s="2"/>
      <x:c r="B70" s="2"/>
      <x:c r="C70" s="2" t="s">
        <x:v>177</x:v>
      </x:c>
      <x:c r="D70" s="7" t="n">
        <x:f>Disclosures!D29</x:f>
        <x:v>42</x:v>
      </x:c>
      <x:c r="E70" s="7" t="n">
        <x:f>Disclosures!D29</x:f>
        <x:v>42</x:v>
      </x:c>
      <x:c r="F70" s="7" t="n">
        <x:f>Disclosures!E29-Disclosures!D29</x:f>
        <x:v>114</x:v>
      </x:c>
      <x:c r="G70" s="7" t="n">
        <x:f>Disclosures!E29-Disclosures!D29</x:f>
        <x:v>114</x:v>
      </x:c>
      <x:c r="H70" s="7" t="n">
        <x:f>Disclosures!F29</x:f>
        <x:v>107</x:v>
      </x:c>
      <x:c r="I70" s="7" t="n">
        <x:f>Disclosures!F29</x:f>
        <x:v>107</x:v>
      </x:c>
      <x:c r="J70" s="7" t="n">
        <x:f>Disclosures!G29-Disclosures!F29</x:f>
        <x:v>87</x:v>
      </x:c>
      <x:c r="K70" s="7" t="n">
        <x:f>Disclosures!G29-Disclosures!F29</x:f>
        <x:v>87</x:v>
      </x:c>
      <x:c r="L70" s="7" t="n">
        <x:f>Disclosures!H29</x:f>
        <x:v>63</x:v>
      </x:c>
      <x:c r="M70" s="7" t="n">
        <x:f>Disclosures!H29</x:f>
        <x:v>63</x:v>
      </x:c>
      <x:c r="N70" s="7" t="n">
        <x:f>Disclosures!I29-Disclosures!H29</x:f>
        <x:v>131</x:v>
      </x:c>
      <x:c r="O70" s="7" t="n">
        <x:f>Disclosures!I29-Disclosures!H29</x:f>
        <x:v>131</x:v>
      </x:c>
      <x:c r="P70" s="7" t="n">
        <x:f>Disclosures!J29</x:f>
        <x:v>109</x:v>
      </x:c>
      <x:c r="Q70" s="7" t="n">
        <x:f>Disclosures!J29</x:f>
        <x:v>109</x:v>
      </x:c>
      <x:c r="R70" s="3"/>
      <x:c r="S70" s="3"/>
      <x:c r="T70" s="3"/>
      <x:c r="U70" s="3"/>
      <x:c r="V70" s="3"/>
      <x:c r="W70" s="3"/>
    </x:row>
    <x:row r="71" ht="19" customHeight="1">
      <x:c r="A71" s="2"/>
      <x:c r="B71" s="2"/>
      <x:c r="C71" s="2" t="s">
        <x:v>178</x:v>
      </x:c>
      <x:c r="D71" s="7" t="n">
        <x:f>Disclosures!D30</x:f>
        <x:v>86</x:v>
      </x:c>
      <x:c r="E71" s="7" t="n">
        <x:f>Disclosures!D30</x:f>
        <x:v>86</x:v>
      </x:c>
      <x:c r="F71" s="7" t="n">
        <x:f>Disclosures!E30-Disclosures!D30</x:f>
        <x:v>93</x:v>
      </x:c>
      <x:c r="G71" s="7" t="n">
        <x:f>Disclosures!E30-Disclosures!D30</x:f>
        <x:v>93</x:v>
      </x:c>
      <x:c r="H71" s="7" t="n">
        <x:f>Disclosures!F30</x:f>
        <x:v>93</x:v>
      </x:c>
      <x:c r="I71" s="7" t="n">
        <x:f>Disclosures!F30</x:f>
        <x:v>93</x:v>
      </x:c>
      <x:c r="J71" s="7" t="n">
        <x:f>Disclosures!G30-Disclosures!F30</x:f>
        <x:v>106</x:v>
      </x:c>
      <x:c r="K71" s="7" t="n">
        <x:f>Disclosures!G30-Disclosures!F30</x:f>
        <x:v>106</x:v>
      </x:c>
      <x:c r="L71" s="7" t="n">
        <x:f>Disclosures!H30</x:f>
        <x:v>110</x:v>
      </x:c>
      <x:c r="M71" s="7" t="n">
        <x:f>Disclosures!H30</x:f>
        <x:v>110</x:v>
      </x:c>
      <x:c r="N71" s="7" t="n">
        <x:f>Disclosures!I30-Disclosures!H30</x:f>
        <x:v>105</x:v>
      </x:c>
      <x:c r="O71" s="7" t="n">
        <x:f>Disclosures!I30-Disclosures!H30</x:f>
        <x:v>105</x:v>
      </x:c>
      <x:c r="P71" s="7" t="n">
        <x:f>Disclosures!J30</x:f>
        <x:v>113</x:v>
      </x:c>
      <x:c r="Q71" s="7" t="n">
        <x:f>Disclosures!J30</x:f>
        <x:v>113</x:v>
      </x:c>
      <x:c r="R71" s="3"/>
      <x:c r="S71" s="3"/>
      <x:c r="T71" s="3"/>
      <x:c r="U71" s="3"/>
      <x:c r="V71" s="3"/>
      <x:c r="W71" s="3"/>
    </x:row>
    <x:row r="72" ht="19" customHeight="1">
      <x:c r="A72" s="2"/>
      <x:c r="B72" s="2"/>
      <x:c r="C72" s="2" t="s">
        <x:v>179</x:v>
      </x:c>
      <x:c r="D72" s="7" t="n">
        <x:f>Disclosures!D26</x:f>
        <x:v>27</x:v>
      </x:c>
      <x:c r="E72" s="7" t="n">
        <x:f>Disclosures!D26</x:f>
        <x:v>27</x:v>
      </x:c>
      <x:c r="F72" s="7" t="n">
        <x:f>Disclosures!E26-Disclosures!D26</x:f>
        <x:v>31</x:v>
      </x:c>
      <x:c r="G72" s="7" t="n">
        <x:f>Disclosures!E26-Disclosures!D26</x:f>
        <x:v>31</x:v>
      </x:c>
      <x:c r="H72" s="7" t="n">
        <x:f>Disclosures!F26</x:f>
        <x:v>33</x:v>
      </x:c>
      <x:c r="I72" s="7" t="n">
        <x:f>Disclosures!F26</x:f>
        <x:v>33</x:v>
      </x:c>
      <x:c r="J72" s="7" t="n">
        <x:f>Disclosures!G26-Disclosures!F26</x:f>
        <x:v>34</x:v>
      </x:c>
      <x:c r="K72" s="7" t="n">
        <x:f>Disclosures!G26-Disclosures!F26</x:f>
        <x:v>34</x:v>
      </x:c>
      <x:c r="L72" s="7" t="n">
        <x:f>Disclosures!H26</x:f>
        <x:v>35</x:v>
      </x:c>
      <x:c r="M72" s="7" t="n">
        <x:f>Disclosures!H26</x:f>
        <x:v>35</x:v>
      </x:c>
      <x:c r="N72" s="7" t="n">
        <x:f>Disclosures!I26-Disclosures!H26</x:f>
        <x:v>38</x:v>
      </x:c>
      <x:c r="O72" s="7" t="n">
        <x:f>Disclosures!I26-Disclosures!H26</x:f>
        <x:v>38</x:v>
      </x:c>
      <x:c r="P72" s="7" t="n">
        <x:f>Disclosures!J26</x:f>
        <x:v>39</x:v>
      </x:c>
      <x:c r="Q72" s="7" t="n">
        <x:f>Disclosures!J26</x:f>
        <x:v>39</x:v>
      </x:c>
      <x:c r="R72" s="3"/>
      <x:c r="S72" s="3"/>
      <x:c r="T72" s="3"/>
      <x:c r="U72" s="3"/>
      <x:c r="V72" s="3"/>
      <x:c r="W72" s="3"/>
    </x:row>
    <x:row r="73" ht="19" customHeight="1">
      <x:c r="A73" s="2"/>
      <x:c r="B73" s="2"/>
      <x:c r="C73" s="2" t="s">
        <x:v>180</x:v>
      </x:c>
      <x:c r="D73" s="7" t="n">
        <x:f>Disclosures!D25</x:f>
        <x:v>2</x:v>
      </x:c>
      <x:c r="E73" s="7" t="n">
        <x:f>Disclosures!D25</x:f>
        <x:v>2</x:v>
      </x:c>
      <x:c r="F73" s="7" t="n">
        <x:f>Disclosures!E25-Disclosures!D25</x:f>
        <x:v>3</x:v>
      </x:c>
      <x:c r="G73" s="7" t="n">
        <x:f>Disclosures!E25-Disclosures!D25</x:f>
        <x:v>3</x:v>
      </x:c>
      <x:c r="H73" s="7" t="n">
        <x:f>Disclosures!F25</x:f>
        <x:v>1</x:v>
      </x:c>
      <x:c r="I73" s="7" t="n">
        <x:f>Disclosures!F25</x:f>
        <x:v>1</x:v>
      </x:c>
      <x:c r="J73" s="7" t="n">
        <x:f>Disclosures!G25-Disclosures!F25</x:f>
        <x:v>1</x:v>
      </x:c>
      <x:c r="K73" s="7" t="n">
        <x:f>Disclosures!G25-Disclosures!F25</x:f>
        <x:v>1</x:v>
      </x:c>
      <x:c r="L73" s="7" t="n">
        <x:f>Disclosures!H25</x:f>
        <x:v>1</x:v>
      </x:c>
      <x:c r="M73" s="7" t="n">
        <x:f>Disclosures!H25</x:f>
        <x:v>1</x:v>
      </x:c>
      <x:c r="N73" s="7" t="n">
        <x:f>Disclosures!I25-Disclosures!H25</x:f>
        <x:v>1</x:v>
      </x:c>
      <x:c r="O73" s="7" t="n">
        <x:f>Disclosures!I25-Disclosures!H25</x:f>
        <x:v>1</x:v>
      </x:c>
      <x:c r="P73" s="7" t="n">
        <x:f>Disclosures!J25</x:f>
        <x:v>1</x:v>
      </x:c>
      <x:c r="Q73" s="7" t="n">
        <x:f>Disclosures!J25</x:f>
        <x:v>1</x:v>
      </x:c>
      <x:c r="R73" s="3"/>
      <x:c r="S73" s="3"/>
      <x:c r="T73" s="3"/>
      <x:c r="U73" s="3"/>
      <x:c r="V73" s="3"/>
      <x:c r="W73" s="3"/>
    </x:row>
    <x:row r="74" ht="19" customHeight="1">
      <x:c r="A74" s="2"/>
      <x:c r="B74" s="2"/>
      <x:c r="C74" s="2" t="s">
        <x:v>181</x:v>
      </x:c>
      <x:c r="D74" s="7" t="n">
        <x:f>Disclosures!D31</x:f>
        <x:v>0</x:v>
      </x:c>
      <x:c r="E74" s="7" t="n">
        <x:f>Disclosures!D31</x:f>
        <x:v>0</x:v>
      </x:c>
      <x:c r="F74" s="7" t="n">
        <x:f>Disclosures!E31-Disclosures!D31</x:f>
        <x:v>2</x:v>
      </x:c>
      <x:c r="G74" s="7" t="n">
        <x:f>Disclosures!E31-Disclosures!D31</x:f>
        <x:v>2</x:v>
      </x:c>
      <x:c r="H74" s="7" t="n">
        <x:f>Disclosures!F31</x:f>
        <x:v>3</x:v>
      </x:c>
      <x:c r="I74" s="7" t="n">
        <x:f>Disclosures!F31</x:f>
        <x:v>3</x:v>
      </x:c>
      <x:c r="J74" s="7" t="n">
        <x:f>Disclosures!G31-Disclosures!F31</x:f>
        <x:v>7</x:v>
      </x:c>
      <x:c r="K74" s="7" t="n">
        <x:f>Disclosures!G31-Disclosures!F31</x:f>
        <x:v>7</x:v>
      </x:c>
      <x:c r="L74" s="7" t="n">
        <x:f>Disclosures!H31</x:f>
        <x:v>2</x:v>
      </x:c>
      <x:c r="M74" s="7" t="n">
        <x:f>Disclosures!H31</x:f>
        <x:v>2</x:v>
      </x:c>
      <x:c r="N74" s="7" t="n">
        <x:f>Disclosures!I31-Disclosures!H31</x:f>
        <x:v>5</x:v>
      </x:c>
      <x:c r="O74" s="7" t="n">
        <x:f>Disclosures!I31-Disclosures!H31</x:f>
        <x:v>5</x:v>
      </x:c>
      <x:c r="P74" s="7" t="n">
        <x:f>Disclosures!J31</x:f>
        <x:v>3</x:v>
      </x:c>
      <x:c r="Q74" s="7" t="n">
        <x:f>Disclosures!J31</x:f>
        <x:v>3</x:v>
      </x:c>
      <x:c r="R74" s="3"/>
      <x:c r="S74" s="3"/>
      <x:c r="T74" s="3"/>
      <x:c r="U74" s="3"/>
      <x:c r="V74" s="3"/>
      <x:c r="W74" s="3"/>
    </x:row>
    <x:row r="75" ht="19" customHeight="1">
      <x:c r="A75" s="2"/>
      <x:c r="B75" s="2"/>
      <x:c r="C75" s="2" t="s">
        <x:v>182</x:v>
      </x:c>
      <x:c r="D75" s="7" t="n">
        <x:f>Disclosures!D32</x:f>
        <x:v>1</x:v>
      </x:c>
      <x:c r="E75" s="7" t="n">
        <x:f>Disclosures!D32</x:f>
        <x:v>1</x:v>
      </x:c>
      <x:c r="F75" s="7" t="n">
        <x:f>Disclosures!E32-Disclosures!D32</x:f>
        <x:v>8</x:v>
      </x:c>
      <x:c r="G75" s="7" t="n">
        <x:f>Disclosures!E32-Disclosures!D32</x:f>
        <x:v>8</x:v>
      </x:c>
      <x:c r="H75" s="7" t="n">
        <x:f>Disclosures!F32</x:f>
        <x:v>8</x:v>
      </x:c>
      <x:c r="I75" s="7" t="n">
        <x:f>Disclosures!F32</x:f>
        <x:v>8</x:v>
      </x:c>
      <x:c r="J75" s="7" t="n">
        <x:f>Disclosures!G32-Disclosures!F32</x:f>
        <x:v>0</x:v>
      </x:c>
      <x:c r="K75" s="7" t="n">
        <x:f>Disclosures!G32-Disclosures!F32</x:f>
        <x:v>0</x:v>
      </x:c>
      <x:c r="L75" s="7" t="n">
        <x:f>Disclosures!H32</x:f>
        <x:v>1</x:v>
      </x:c>
      <x:c r="M75" s="7" t="n">
        <x:f>Disclosures!H32</x:f>
        <x:v>1</x:v>
      </x:c>
      <x:c r="N75" s="7" t="n">
        <x:f>Disclosures!I32-Disclosures!H32</x:f>
        <x:v>6</x:v>
      </x:c>
      <x:c r="O75" s="7" t="n">
        <x:f>Disclosures!I32-Disclosures!H32</x:f>
        <x:v>6</x:v>
      </x:c>
      <x:c r="P75" s="7" t="n">
        <x:f>Disclosures!J32</x:f>
        <x:v>4</x:v>
      </x:c>
      <x:c r="Q75" s="7" t="n">
        <x:f>Disclosures!J32</x:f>
        <x:v>4</x:v>
      </x:c>
      <x:c r="R75" s="3"/>
      <x:c r="S75" s="3"/>
      <x:c r="T75" s="3"/>
      <x:c r="U75" s="3"/>
      <x:c r="V75" s="3"/>
      <x:c r="W75" s="3"/>
    </x:row>
    <x:row r="76" ht="19" customHeight="1">
      <x:c r="A76" s="2"/>
      <x:c r="B76" s="2"/>
      <x:c r="C76" s="2" t="s">
        <x:v>183</x:v>
      </x:c>
      <x:c r="D76" s="7" t="n">
        <x:f>Disclosures!D33</x:f>
        <x:v>5</x:v>
      </x:c>
      <x:c r="E76" s="7" t="n">
        <x:f>Disclosures!D33</x:f>
        <x:v>5</x:v>
      </x:c>
      <x:c r="F76" s="7" t="n">
        <x:f>Disclosures!E33-Disclosures!D33</x:f>
        <x:v>7</x:v>
      </x:c>
      <x:c r="G76" s="7" t="n">
        <x:f>Disclosures!E33-Disclosures!D33</x:f>
        <x:v>7</x:v>
      </x:c>
      <x:c r="H76" s="7" t="n">
        <x:f>Disclosures!F33</x:f>
        <x:v>7</x:v>
      </x:c>
      <x:c r="I76" s="7" t="n">
        <x:f>Disclosures!F33</x:f>
        <x:v>7</x:v>
      </x:c>
      <x:c r="J76" s="7" t="n">
        <x:f>Disclosures!G33-Disclosures!F33</x:f>
        <x:v>8</x:v>
      </x:c>
      <x:c r="K76" s="7" t="n">
        <x:f>Disclosures!G33-Disclosures!F33</x:f>
        <x:v>8</x:v>
      </x:c>
      <x:c r="L76" s="7" t="n">
        <x:f>Disclosures!H33</x:f>
        <x:v>7</x:v>
      </x:c>
      <x:c r="M76" s="7" t="n">
        <x:f>Disclosures!H33</x:f>
        <x:v>7</x:v>
      </x:c>
      <x:c r="N76" s="7" t="n">
        <x:f>Disclosures!I33-Disclosures!H33</x:f>
        <x:v>4</x:v>
      </x:c>
      <x:c r="O76" s="7" t="n">
        <x:f>Disclosures!I33-Disclosures!H33</x:f>
        <x:v>4</x:v>
      </x:c>
      <x:c r="P76" s="7" t="n">
        <x:f>Disclosures!J33</x:f>
        <x:v>5</x:v>
      </x:c>
      <x:c r="Q76" s="7" t="n">
        <x:f>Disclosures!J33</x:f>
        <x:v>5</x:v>
      </x:c>
      <x:c r="R76" s="3"/>
      <x:c r="S76" s="3"/>
      <x:c r="T76" s="3"/>
      <x:c r="U76" s="3"/>
      <x:c r="V76" s="3"/>
      <x:c r="W76" s="3"/>
    </x:row>
    <x:row r="77" ht="19" customHeight="1">
      <x:c r="A77" s="2"/>
      <x:c r="B77" s="2"/>
      <x:c r="C77" s="2" t="s">
        <x:v>184</x:v>
      </x:c>
      <x:c r="D77" s="7" t="n">
        <x:f>Disclosures!D34</x:f>
        <x:v>0</x:v>
      </x:c>
      <x:c r="E77" s="7" t="n">
        <x:f>Disclosures!D34</x:f>
        <x:v>0</x:v>
      </x:c>
      <x:c r="F77" s="7" t="n">
        <x:f>Disclosures!E34-Disclosures!D34</x:f>
        <x:v>1</x:v>
      </x:c>
      <x:c r="G77" s="7" t="n">
        <x:f>Disclosures!E34-Disclosures!D34</x:f>
        <x:v>1</x:v>
      </x:c>
      <x:c r="H77" s="7" t="n">
        <x:f>Disclosures!F34</x:f>
        <x:v>1</x:v>
      </x:c>
      <x:c r="I77" s="7" t="n">
        <x:f>Disclosures!F34</x:f>
        <x:v>1</x:v>
      </x:c>
      <x:c r="J77" s="7" t="n">
        <x:f>Disclosures!G34-Disclosures!F34</x:f>
        <x:v>1</x:v>
      </x:c>
      <x:c r="K77" s="7" t="n">
        <x:f>Disclosures!G34-Disclosures!F34</x:f>
        <x:v>1</x:v>
      </x:c>
      <x:c r="L77" s="7" t="n">
        <x:f>Disclosures!H34</x:f>
        <x:v>1</x:v>
      </x:c>
      <x:c r="M77" s="7" t="n">
        <x:f>Disclosures!H34</x:f>
        <x:v>1</x:v>
      </x:c>
      <x:c r="N77" s="7" t="n">
        <x:f>Disclosures!I34-Disclosures!H34</x:f>
        <x:v>1</x:v>
      </x:c>
      <x:c r="O77" s="7" t="n">
        <x:f>Disclosures!I34-Disclosures!H34</x:f>
        <x:v>1</x:v>
      </x:c>
      <x:c r="P77" s="7" t="n">
        <x:f>Disclosures!J34</x:f>
        <x:v>1</x:v>
      </x:c>
      <x:c r="Q77" s="7" t="n">
        <x:f>Disclosures!J34</x:f>
        <x:v>1</x:v>
      </x:c>
      <x:c r="R77" s="3"/>
      <x:c r="S77" s="3"/>
      <x:c r="T77" s="3"/>
      <x:c r="U77" s="3"/>
      <x:c r="V77" s="3"/>
      <x:c r="W77" s="3"/>
    </x:row>
    <x:row r="78" ht="19" customHeight="1">
      <x:c r="A78" s="2"/>
      <x:c r="B78" s="2"/>
      <x:c r="C78" s="2" t="s">
        <x:v>185</x:v>
      </x:c>
      <x:c r="D78" s="7" t="n">
        <x:f>Disclosures!D35</x:f>
        <x:v>0</x:v>
      </x:c>
      <x:c r="E78" s="7" t="n">
        <x:f>Disclosures!D35</x:f>
        <x:v>0</x:v>
      </x:c>
      <x:c r="F78" s="7" t="n">
        <x:f>Disclosures!E35-Disclosures!D35</x:f>
        <x:v>0</x:v>
      </x:c>
      <x:c r="G78" s="7" t="n">
        <x:f>Disclosures!E35-Disclosures!D35</x:f>
        <x:v>0</x:v>
      </x:c>
      <x:c r="H78" s="7" t="n">
        <x:f>Disclosures!F35</x:f>
        <x:v>1</x:v>
      </x:c>
      <x:c r="I78" s="7" t="n">
        <x:f>Disclosures!F35</x:f>
        <x:v>1</x:v>
      </x:c>
      <x:c r="J78" s="7" t="n">
        <x:f>Disclosures!G35-Disclosures!F35</x:f>
        <x:v>0</x:v>
      </x:c>
      <x:c r="K78" s="7" t="n">
        <x:f>Disclosures!G35-Disclosures!F35</x:f>
        <x:v>0</x:v>
      </x:c>
      <x:c r="L78" s="7" t="n">
        <x:f>Disclosures!H35</x:f>
        <x:v>0</x:v>
      </x:c>
      <x:c r="M78" s="7" t="n">
        <x:f>Disclosures!H35</x:f>
        <x:v>0</x:v>
      </x:c>
      <x:c r="N78" s="7" t="n">
        <x:f>Disclosures!I35-Disclosures!H35</x:f>
        <x:v>1</x:v>
      </x:c>
      <x:c r="O78" s="7" t="n">
        <x:f>Disclosures!I35-Disclosures!H35</x:f>
        <x:v>1</x:v>
      </x:c>
      <x:c r="P78" s="7" t="n">
        <x:f>Disclosures!J35</x:f>
        <x:v>0</x:v>
      </x:c>
      <x:c r="Q78" s="7" t="n">
        <x:f>Disclosures!J35</x:f>
        <x:v>0</x:v>
      </x:c>
      <x:c r="R78" s="3"/>
      <x:c r="S78" s="3"/>
      <x:c r="T78" s="3"/>
      <x:c r="U78" s="3"/>
      <x:c r="V78" s="3"/>
      <x:c r="W78" s="3"/>
    </x:row>
    <x:row r="79" ht="19" customHeight="1">
      <x:c r="A79" s="2"/>
      <x:c r="B79" s="2"/>
      <x:c r="C79" s="2" t="s">
        <x:v>186</x:v>
      </x:c>
      <x:c r="D79" s="7" t="n">
        <x:f>Disclosures!D39</x:f>
        <x:v>29</x:v>
      </x:c>
      <x:c r="E79" s="7" t="n">
        <x:f>Disclosures!D39</x:f>
        <x:v>29</x:v>
      </x:c>
      <x:c r="F79" s="7" t="n">
        <x:f>Disclosures!E39-Disclosures!D39</x:f>
        <x:v>40</x:v>
      </x:c>
      <x:c r="G79" s="7" t="n">
        <x:f>Disclosures!E39-Disclosures!D39</x:f>
        <x:v>40</x:v>
      </x:c>
      <x:c r="H79" s="7" t="n">
        <x:f>Disclosures!F39</x:f>
        <x:v>53</x:v>
      </x:c>
      <x:c r="I79" s="7" t="n">
        <x:f>Disclosures!F39</x:f>
        <x:v>53</x:v>
      </x:c>
      <x:c r="J79" s="7" t="n">
        <x:f>Disclosures!G39-Disclosures!F39</x:f>
        <x:v>39</x:v>
      </x:c>
      <x:c r="K79" s="7" t="n">
        <x:f>Disclosures!G39-Disclosures!F39</x:f>
        <x:v>39</x:v>
      </x:c>
      <x:c r="L79" s="7" t="n">
        <x:f>Disclosures!H39</x:f>
        <x:v>33</x:v>
      </x:c>
      <x:c r="M79" s="7" t="n">
        <x:f>Disclosures!H39</x:f>
        <x:v>33</x:v>
      </x:c>
      <x:c r="N79" s="7" t="n">
        <x:f>Disclosures!I39-Disclosures!H39</x:f>
        <x:v>53</x:v>
      </x:c>
      <x:c r="O79" s="7" t="n">
        <x:f>Disclosures!I39-Disclosures!H39</x:f>
        <x:v>53</x:v>
      </x:c>
      <x:c r="P79" s="7" t="n">
        <x:f>Disclosures!J39</x:f>
        <x:v>67</x:v>
      </x:c>
      <x:c r="Q79" s="7" t="n">
        <x:f>Disclosures!J39</x:f>
        <x:v>67</x:v>
      </x:c>
      <x:c r="R79" s="3"/>
      <x:c r="S79" s="3"/>
      <x:c r="T79" s="3"/>
      <x:c r="U79" s="3"/>
      <x:c r="V79" s="3"/>
      <x:c r="W79" s="3"/>
    </x:row>
    <x:row r="80" ht="19" customHeight="1">
      <x:c r="A80" s="2"/>
      <x:c r="B80" s="2"/>
      <x:c r="C80" s="2" t="s">
        <x:v>187</x:v>
      </x:c>
      <x:c r="D80" s="7" t="n">
        <x:f>Disclosures!D38</x:f>
        <x:v>137</x:v>
      </x:c>
      <x:c r="E80" s="7" t="n">
        <x:f>Disclosures!D38</x:f>
        <x:v>137</x:v>
      </x:c>
      <x:c r="F80" s="7" t="n">
        <x:f>Disclosures!E38-Disclosures!D38</x:f>
        <x:v>203</x:v>
      </x:c>
      <x:c r="G80" s="7" t="n">
        <x:f>Disclosures!E38-Disclosures!D38</x:f>
        <x:v>203</x:v>
      </x:c>
      <x:c r="H80" s="7" t="n">
        <x:f>Disclosures!F38</x:f>
        <x:v>257</x:v>
      </x:c>
      <x:c r="I80" s="7" t="n">
        <x:f>Disclosures!F38</x:f>
        <x:v>257</x:v>
      </x:c>
      <x:c r="J80" s="7" t="n">
        <x:f>Disclosures!G38-Disclosures!F38</x:f>
        <x:v>216</x:v>
      </x:c>
      <x:c r="K80" s="7" t="n">
        <x:f>Disclosures!G38-Disclosures!F38</x:f>
        <x:v>216</x:v>
      </x:c>
      <x:c r="L80" s="7" t="n">
        <x:f>Disclosures!H38</x:f>
        <x:v>146</x:v>
      </x:c>
      <x:c r="M80" s="7" t="n">
        <x:f>Disclosures!H38</x:f>
        <x:v>146</x:v>
      </x:c>
      <x:c r="N80" s="7" t="n">
        <x:f>Disclosures!I38-Disclosures!H38</x:f>
        <x:v>261</x:v>
      </x:c>
      <x:c r="O80" s="7" t="n">
        <x:f>Disclosures!I38-Disclosures!H38</x:f>
        <x:v>261</x:v>
      </x:c>
      <x:c r="P80" s="7" t="n">
        <x:f>Disclosures!J38</x:f>
        <x:v>297</x:v>
      </x:c>
      <x:c r="Q80" s="7" t="n">
        <x:f>Disclosures!J38</x:f>
        <x:v>297</x:v>
      </x:c>
      <x:c r="R80" s="3"/>
      <x:c r="S80" s="3"/>
      <x:c r="T80" s="3"/>
      <x:c r="U80" s="3"/>
      <x:c r="V80" s="3"/>
      <x:c r="W80" s="3"/>
    </x:row>
    <x:row r="81" ht="19" customHeight="1">
      <x:c r="A81" s="2"/>
      <x:c r="B81" s="2"/>
      <x:c r="C81" s="2" t="s">
        <x:v>188</x:v>
      </x:c>
      <x:c r="D81" s="7" t="n">
        <x:f>Disclosures!D41</x:f>
        <x:v>1217</x:v>
      </x:c>
      <x:c r="E81" s="7" t="n">
        <x:f>Disclosures!D41</x:f>
        <x:v>1217</x:v>
      </x:c>
      <x:c r="F81" s="7" t="n">
        <x:f>(Disclosures!E41*365-Disclosures!D41*181)/184</x:f>
        <x:v>1197.273023532609</x:v>
      </x:c>
      <x:c r="G81" s="7" t="n">
        <x:f>(Disclosures!E41*365-Disclosures!D41*181)/184</x:f>
        <x:v>1197.273023532609</x:v>
      </x:c>
      <x:c r="H81" s="7" t="n">
        <x:f>Disclosures!F41</x:f>
        <x:v>1192</x:v>
      </x:c>
      <x:c r="I81" s="7" t="n">
        <x:f>Disclosures!F41</x:f>
        <x:v>1192</x:v>
      </x:c>
      <x:c r="J81" s="7" t="n">
        <x:f>(Disclosures!G41*366-Disclosures!F41*182)/184</x:f>
        <x:v>1186.1834742934784</x:v>
      </x:c>
      <x:c r="K81" s="7" t="n">
        <x:f>(Disclosures!G41*366-Disclosures!F41*182)/184</x:f>
        <x:v>1186.1834742934784</x:v>
      </x:c>
      <x:c r="L81" s="7" t="n">
        <x:f>Disclosures!H41</x:f>
        <x:v>1168</x:v>
      </x:c>
      <x:c r="M81" s="7" t="n">
        <x:f>Disclosures!H41</x:f>
        <x:v>1168</x:v>
      </x:c>
      <x:c r="N81" s="7" t="n">
        <x:f>(Disclosures!I41*365-Disclosures!H41*181)/184</x:f>
        <x:v>1161.8056484782608</x:v>
      </x:c>
      <x:c r="O81" s="7" t="n">
        <x:f>(Disclosures!I41*365-Disclosures!H41*181)/184</x:f>
        <x:v>1161.8056484782608</x:v>
      </x:c>
      <x:c r="P81" s="7" t="n">
        <x:f>Disclosures!J41</x:f>
        <x:v>1153</x:v>
      </x:c>
      <x:c r="Q81" s="7" t="n">
        <x:f>Disclosures!J41</x:f>
        <x:v>1153</x:v>
      </x:c>
      <x:c r="R81" s="3"/>
      <x:c r="S81" s="3"/>
      <x:c r="T81" s="3"/>
      <x:c r="U81" s="3"/>
      <x:c r="V81" s="3"/>
      <x:c r="W81" s="3"/>
    </x:row>
    <x:row r="82" ht="19" customHeight="1">
      <x:c r="A82" s="2"/>
      <x:c r="B82" s="2"/>
      <x:c r="C82" s="2" t="s">
        <x:v>189</x:v>
      </x:c>
      <x:c r="D82" s="7" t="n">
        <x:f>Disclosures!D21</x:f>
        <x:v>16</x:v>
      </x:c>
      <x:c r="E82" s="7" t="n">
        <x:f>Disclosures!D21</x:f>
        <x:v>16</x:v>
      </x:c>
      <x:c r="F82" s="7" t="n">
        <x:f>Disclosures!E21-Disclosures!D21</x:f>
        <x:v>16</x:v>
      </x:c>
      <x:c r="G82" s="7" t="n">
        <x:f>Disclosures!E21-Disclosures!D21</x:f>
        <x:v>16</x:v>
      </x:c>
      <x:c r="H82" s="7" t="n">
        <x:f>Disclosures!F21</x:f>
        <x:v>17</x:v>
      </x:c>
      <x:c r="I82" s="7" t="n">
        <x:f>Disclosures!F21</x:f>
        <x:v>17</x:v>
      </x:c>
      <x:c r="J82" s="7" t="n">
        <x:f>Disclosures!G21-Disclosures!F21</x:f>
        <x:v>21</x:v>
      </x:c>
      <x:c r="K82" s="7" t="n">
        <x:f>Disclosures!G21-Disclosures!F21</x:f>
        <x:v>21</x:v>
      </x:c>
      <x:c r="L82" s="7" t="n">
        <x:f>Disclosures!H21</x:f>
        <x:v>26</x:v>
      </x:c>
      <x:c r="M82" s="7" t="n">
        <x:f>Disclosures!H21</x:f>
        <x:v>26</x:v>
      </x:c>
      <x:c r="N82" s="7" t="n">
        <x:f>Disclosures!I21-Disclosures!H21</x:f>
        <x:v>33</x:v>
      </x:c>
      <x:c r="O82" s="7" t="n">
        <x:f>Disclosures!I21-Disclosures!H21</x:f>
        <x:v>33</x:v>
      </x:c>
      <x:c r="P82" s="7" t="n">
        <x:f>Disclosures!J21</x:f>
        <x:v>43</x:v>
      </x:c>
      <x:c r="Q82" s="7" t="n">
        <x:f>Disclosures!J21</x:f>
        <x:v>43</x:v>
      </x:c>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11" t="s">
        <x:v>190</x:v>
      </x:c>
      <x:c r="D85" s="12"/>
      <x:c r="E85" s="12"/>
      <x:c r="F85" s="12"/>
      <x:c r="G85" s="12"/>
      <x:c r="H85" s="12"/>
      <x:c r="I85" s="12"/>
      <x:c r="J85" s="12"/>
      <x:c r="K85" s="12"/>
      <x:c r="L85" s="12"/>
      <x:c r="M85" s="12"/>
      <x:c r="N85" s="3"/>
      <x:c r="O85" s="3"/>
      <x:c r="P85" s="3"/>
      <x:c r="Q85" s="3"/>
      <x:c r="R85" s="3"/>
      <x:c r="S85" s="3"/>
      <x:c r="T85" s="3"/>
      <x:c r="U85" s="3"/>
      <x:c r="V85" s="3"/>
      <x:c r="W85" s="3"/>
    </x:row>
    <x:row r="86" ht="19" customHeight="1">
      <x:c r="A86" s="2"/>
      <x:c r="B86" s="2"/>
      <x:c r="C86" s="2"/>
      <x:c r="D86" s="3" t="s">
        <x:v>3</x:v>
      </x:c>
      <x:c r="E86" s="3" t="s">
        <x:v>4</x:v>
      </x:c>
      <x:c r="F86" s="3" t="s">
        <x:v>5</x:v>
      </x:c>
      <x:c r="G86" s="3" t="s">
        <x:v>6</x:v>
      </x:c>
      <x:c r="H86" s="3" t="s">
        <x:v>7</x:v>
      </x:c>
      <x:c r="I86" s="3" t="s">
        <x:v>8</x:v>
      </x:c>
      <x:c r="J86" s="3" t="s">
        <x:v>9</x:v>
      </x:c>
      <x:c r="K86" s="3" t="s">
        <x:v>10</x:v>
      </x:c>
      <x:c r="L86" s="3" t="s">
        <x:v>11</x:v>
      </x:c>
      <x:c r="M86" s="3" t="s">
        <x:v>12</x:v>
      </x:c>
      <x:c r="N86" s="3"/>
      <x:c r="O86" s="3"/>
      <x:c r="P86" s="3"/>
      <x:c r="Q86" s="3"/>
      <x:c r="R86" s="3"/>
      <x:c r="S86" s="3"/>
      <x:c r="T86" s="3"/>
      <x:c r="U86" s="3"/>
      <x:c r="V86" s="3"/>
      <x:c r="W86" s="3"/>
    </x:row>
    <x:row r="87" ht="19" customHeight="1">
      <x:c r="A87" s="2"/>
      <x:c r="B87" s="2"/>
      <x:c r="C87" s="2" t="s">
        <x:v>130</x:v>
      </x:c>
      <x:c r="D87" s="3" t="n">
        <x:f>E17</x:f>
        <x:v>151.7</x:v>
      </x:c>
      <x:c r="E87" s="3" t="n">
        <x:f>G17</x:f>
        <x:v>167.49999999999997</x:v>
      </x:c>
      <x:c r="F87" s="3" t="n">
        <x:f>I17</x:f>
        <x:v>178.20000000000002</x:v>
      </x:c>
      <x:c r="G87" s="3" t="n">
        <x:f>K17</x:f>
        <x:v>168.60000000000002</x:v>
      </x:c>
      <x:c r="H87" s="3" t="n">
        <x:f>M17</x:f>
        <x:v>193.3</x:v>
      </x:c>
      <x:c r="I87" s="3" t="n">
        <x:f>O17</x:f>
        <x:v>227.6</x:v>
      </x:c>
      <x:c r="J87" s="3" t="n">
        <x:f>Q17</x:f>
        <x:v>253.59999999999997</x:v>
      </x:c>
      <x:c r="K87" s="3" t="n">
        <x:f>S17</x:f>
        <x:v>266.4384999999999</x:v>
      </x:c>
      <x:c r="L87" s="3" t="n">
        <x:f>U17</x:f>
        <x:v>279.9269490624999</x:v>
      </x:c>
      <x:c r="M87" s="3" t="n">
        <x:f>W17</x:f>
        <x:v>294.09825085878896</x:v>
      </x:c>
      <x:c r="N87" s="3"/>
      <x:c r="O87" s="3"/>
      <x:c r="P87" s="3"/>
      <x:c r="Q87" s="3"/>
      <x:c r="R87" s="3"/>
      <x:c r="S87" s="3"/>
      <x:c r="T87" s="3"/>
      <x:c r="U87" s="3"/>
      <x:c r="V87" s="3"/>
      <x:c r="W87" s="3"/>
    </x:row>
    <x:row r="88" ht="19" customHeight="1">
      <x:c r="A88" s="2"/>
      <x:c r="B88" s="2"/>
      <x:c r="C88" s="2" t="s">
        <x:v>131</x:v>
      </x:c>
      <x:c r="D88" s="3" t="n">
        <x:f>AVERAGE(D18:E18)</x:f>
        <x:v>146.1</x:v>
      </x:c>
      <x:c r="E88" s="3" t="n">
        <x:f>AVERAGE(D18:G18)</x:f>
        <x:v>153.25</x:v>
      </x:c>
      <x:c r="F88" s="3" t="n">
        <x:f>AVERAGE(H18:I18)</x:f>
        <x:v>174.27499999999998</x:v>
      </x:c>
      <x:c r="G88" s="3" t="n">
        <x:f>AVERAGE(H18:K18)</x:f>
        <x:v>174.21249999999998</x:v>
      </x:c>
      <x:c r="H88" s="3" t="n">
        <x:f>AVERAGE(L18:M18)</x:f>
        <x:v>176.77500000000003</x:v>
      </x:c>
      <x:c r="I88" s="3" t="n">
        <x:f>AVERAGE(L18:O18)</x:f>
        <x:v>194.47500000000002</x:v>
      </x:c>
      <x:c r="J88" s="3" t="n">
        <x:f>AVERAGE(P18:Q18)</x:f>
        <x:v>234.64999999999998</x:v>
      </x:c>
      <x:c r="K88" s="3" t="n">
        <x:f>AVERAGE(P18:S18)</x:f>
        <x:v>247.31481249999996</x:v>
      </x:c>
      <x:c r="L88" s="3" t="n">
        <x:f>AVERAGE(T18:U18)</x:f>
        <x:v>273.1410935156249</x:v>
      </x:c>
      <x:c r="M88" s="3" t="n">
        <x:f>AVERAGE(T18:W18)</x:f>
        <x:v>280.05497744523916</x:v>
      </x:c>
      <x:c r="N88" s="3"/>
      <x:c r="O88" s="3"/>
      <x:c r="P88" s="3"/>
      <x:c r="Q88" s="3"/>
      <x:c r="R88" s="3"/>
      <x:c r="S88" s="3"/>
      <x:c r="T88" s="3"/>
      <x:c r="U88" s="3"/>
      <x:c r="V88" s="3"/>
      <x:c r="W88" s="3"/>
    </x:row>
    <x:row r="89" ht="19" customHeight="1">
      <x:c r="A89" s="2"/>
      <x:c r="B89" s="2"/>
      <x:c r="C89" s="2" t="s">
        <x:v>123</x:v>
      </x:c>
      <x:c r="D89" s="3" t="n">
        <x:f>SUM(D11:E11)</x:f>
        <x:v>2.6</x:v>
      </x:c>
      <x:c r="E89" s="3" t="n">
        <x:f>SUM(D11:G11)</x:f>
        <x:v>3</x:v>
      </x:c>
      <x:c r="F89" s="3" t="n">
        <x:f>SUM(H11:I11)</x:f>
        <x:v>0.8999999999999999</x:v>
      </x:c>
      <x:c r="G89" s="3" t="n">
        <x:f>SUM(H11:K11)</x:f>
        <x:v>-3.3</x:v>
      </x:c>
      <x:c r="H89" s="3" t="n">
        <x:f>SUM(L11:M11)</x:f>
        <x:v>17.6</x:v>
      </x:c>
      <x:c r="I89" s="3" t="n">
        <x:f>SUM(L11:O11)</x:f>
        <x:v>28.7</x:v>
      </x:c>
      <x:c r="J89" s="3" t="n">
        <x:f>SUM(P11:Q11)</x:f>
        <x:v>7.1</x:v>
      </x:c>
      <x:c r="K89" s="3" t="n">
        <x:f>SUM(P11:S11)</x:f>
        <x:v>12.235399999999998</x:v>
      </x:c>
      <x:c r="L89" s="3" t="n">
        <x:f>SUM(T11:U11)</x:f>
        <x:v>5.395379624999999</x:v>
      </x:c>
      <x:c r="M89" s="3" t="n">
        <x:f>SUM(T11:W11)</x:f>
        <x:v>11.063900343515622</x:v>
      </x:c>
      <x:c r="N89" s="3"/>
      <x:c r="O89" s="3"/>
      <x:c r="P89" s="3"/>
      <x:c r="Q89" s="3"/>
      <x:c r="R89" s="3"/>
      <x:c r="S89" s="3"/>
      <x:c r="T89" s="3"/>
      <x:c r="U89" s="3"/>
      <x:c r="V89" s="3"/>
      <x:c r="W89" s="3"/>
    </x:row>
    <x:row r="90" ht="19" customHeight="1">
      <x:c r="A90" s="2"/>
      <x:c r="B90" s="2"/>
      <x:c r="C90" s="2" t="s">
        <x:v>124</x:v>
      </x:c>
      <x:c r="D90" s="3" t="n">
        <x:f>SUM(D12:E12)</x:f>
        <x:v>5.1000000000000005</x:v>
      </x:c>
      <x:c r="E90" s="3" t="n">
        <x:f>SUM(D12:G12)</x:f>
        <x:v>9.7</x:v>
      </x:c>
      <x:c r="F90" s="3" t="n">
        <x:f>SUM(H12:I12)</x:f>
        <x:v>11.100000000000001</x:v>
      </x:c>
      <x:c r="G90" s="3" t="n">
        <x:f>SUM(H12:K12)</x:f>
        <x:v>10.900000000000002</x:v>
      </x:c>
      <x:c r="H90" s="3" t="n">
        <x:f>SUM(L12:M12)</x:f>
        <x:v>2.5</x:v>
      </x:c>
      <x:c r="I90" s="3" t="n">
        <x:f>SUM(L12:O12)</x:f>
        <x:v>21.4</x:v>
      </x:c>
      <x:c r="J90" s="3" t="n">
        <x:f>SUM(P12:Q12)</x:f>
        <x:v>19.8</x:v>
      </x:c>
      <x:c r="K90" s="3" t="n">
        <x:f>SUM(P12:S12)</x:f>
        <x:v>27.503099999999996</x:v>
      </x:c>
      <x:c r="L90" s="3" t="n">
        <x:f>SUM(T12:U12)</x:f>
        <x:v>8.093069437499997</x:v>
      </x:c>
      <x:c r="M90" s="3" t="n">
        <x:f>SUM(T12:W12)</x:f>
        <x:v>16.59585051527343</x:v>
      </x:c>
      <x:c r="N90" s="3"/>
      <x:c r="O90" s="3"/>
      <x:c r="P90" s="3"/>
      <x:c r="Q90" s="3"/>
      <x:c r="R90" s="3"/>
      <x:c r="S90" s="3"/>
      <x:c r="T90" s="3"/>
      <x:c r="U90" s="3"/>
      <x:c r="V90" s="3"/>
      <x:c r="W90" s="3"/>
    </x:row>
    <x:row r="91" ht="19" customHeight="1">
      <x:c r="A91" s="2"/>
      <x:c r="B91" s="2"/>
      <x:c r="C91" s="2" t="s">
        <x:v>125</x:v>
      </x:c>
      <x:c r="D91" s="3" t="str">
        <x:f>IF(COUNT(D13:E13)=2,SUM(D13:E13),"n/d")</x:f>
        <x:v>n/d</x:v>
      </x:c>
      <x:c r="E91" s="3" t="str">
        <x:f>IF(COUNT(D13:G13)=4,SUM(D13:G13),"n/d")</x:f>
        <x:v>n/d</x:v>
      </x:c>
      <x:c r="F91" s="3" t="n">
        <x:f>IF(COUNT(H13:I13)=2,SUM(H13:I13),"n/d")</x:f>
        <x:v>-0.7599999999999999</x:v>
      </x:c>
      <x:c r="G91" s="3" t="n">
        <x:f>IF(COUNT(H13:K13)=4,SUM(H13:K13),"n/d")</x:f>
        <x:v>-3.7999999999999994</x:v>
      </x:c>
      <x:c r="H91" s="3" t="n">
        <x:f>IF(COUNT(L13:M13)=2,SUM(L13:M13),"n/d")</x:f>
        <x:v>4.970967741935484</x:v>
      </x:c>
      <x:c r="I91" s="3" t="n">
        <x:f>IF(COUNT(L13:O13)=4,SUM(L13:O13),"n/d")</x:f>
        <x:v>6.699999999999999</x:v>
      </x:c>
      <x:c r="J91" s="3" t="str">
        <x:f>IF(COUNT(P13:Q13)=2,SUM(P13:Q13),"n/d")</x:f>
        <x:v>n/d</x:v>
      </x:c>
      <x:c r="K91" s="3" t="str">
        <x:f>IF(COUNT(P13:S13)=4,SUM(P13:S13),"n/d")</x:f>
        <x:v>n/d</x:v>
      </x:c>
      <x:c r="L91" s="3" t="n">
        <x:f>IF(COUNT(T13:U13)=2,SUM(T13:U13),"n/d")</x:f>
        <x:v>0</x:v>
      </x:c>
      <x:c r="M91" s="3" t="n">
        <x:f>IF(COUNT(T13:W13)=4,SUM(T13:W13),"n/d")</x:f>
        <x:v>0</x:v>
      </x:c>
      <x:c r="N91" s="3"/>
      <x:c r="O91" s="3"/>
      <x:c r="P91" s="3"/>
      <x:c r="Q91" s="3"/>
      <x:c r="R91" s="3"/>
      <x:c r="S91" s="3"/>
      <x:c r="T91" s="3"/>
      <x:c r="U91" s="3"/>
      <x:c r="V91" s="3"/>
      <x:c r="W91" s="3"/>
    </x:row>
    <x:row r="92" ht="19" customHeight="1">
      <x:c r="A92" s="2"/>
      <x:c r="B92" s="2"/>
      <x:c r="C92" s="2" t="s">
        <x:v>127</x:v>
      </x:c>
      <x:c r="D92" s="3" t="n">
        <x:f>SUM(D14:E14)</x:f>
        <x:v>0</x:v>
      </x:c>
      <x:c r="E92" s="3" t="n">
        <x:f>SUM(D14:G14)</x:f>
        <x:v>10.8</x:v>
      </x:c>
      <x:c r="F92" s="3" t="n">
        <x:f>SUM(H14:I14)</x:f>
        <x:v>0</x:v>
      </x:c>
      <x:c r="G92" s="3" t="n">
        <x:f>SUM(H14:K14)</x:f>
        <x:v>0</x:v>
      </x:c>
      <x:c r="H92" s="3" t="n">
        <x:f>SUM(L14:M14)</x:f>
        <x:v>0</x:v>
      </x:c>
      <x:c r="I92" s="3" t="n">
        <x:f>SUM(L14:O14)</x:f>
        <x:v>2.7</x:v>
      </x:c>
      <x:c r="J92" s="3" t="n">
        <x:f>SUM(P14:Q14)</x:f>
        <x:v>0</x:v>
      </x:c>
      <x:c r="K92" s="3" t="n">
        <x:f>SUM(P14:S14)</x:f>
        <x:v>0</x:v>
      </x:c>
      <x:c r="L92" s="3" t="n">
        <x:f>SUM(T14:U14)</x:f>
        <x:v>0</x:v>
      </x:c>
      <x:c r="M92" s="3" t="n">
        <x:f>SUM(T14:W14)</x:f>
        <x:v>0</x:v>
      </x:c>
      <x:c r="N92" s="3"/>
      <x:c r="O92" s="3"/>
      <x:c r="P92" s="3"/>
      <x:c r="Q92" s="3"/>
      <x:c r="R92" s="3"/>
      <x:c r="S92" s="3"/>
      <x:c r="T92" s="3"/>
      <x:c r="U92" s="3"/>
      <x:c r="V92" s="3"/>
      <x:c r="W92" s="3"/>
    </x:row>
    <x:row r="93" ht="19" customHeight="1">
      <x:c r="A93" s="2"/>
      <x:c r="B93" s="2"/>
      <x:c r="C93" s="2" t="s">
        <x:v>128</x:v>
      </x:c>
      <x:c r="D93" s="3" t="str">
        <x:f>IF(COUNT(D15:E15)=2,SUM(D15:E15),"n/d")</x:f>
        <x:v>n/d</x:v>
      </x:c>
      <x:c r="E93" s="3" t="str">
        <x:f>IF(COUNT(D15:G15)=4,SUM(D15:G15),"n/d")</x:f>
        <x:v>n/d</x:v>
      </x:c>
      <x:c r="F93" s="3" t="n">
        <x:f>IF(COUNT(H15:I15)=2,SUM(H15:I15),"n/d")</x:f>
        <x:v>-1.05</x:v>
      </x:c>
      <x:c r="G93" s="3" t="n">
        <x:f>IF(COUNT(H15:K15)=4,SUM(H15:K15),"n/d")</x:f>
        <x:v>-2.1</x:v>
      </x:c>
      <x:c r="H93" s="3" t="str">
        <x:f>IF(COUNT(L15:M15)=2,SUM(L15:M15),"n/d")</x:f>
        <x:v>n/d</x:v>
      </x:c>
      <x:c r="I93" s="3" t="str">
        <x:f>IF(COUNT(L15:O15)=4,SUM(L15:O15),"n/d")</x:f>
        <x:v>n/d</x:v>
      </x:c>
      <x:c r="J93" s="3" t="str">
        <x:f>IF(COUNT(P15:Q15)=2,SUM(P15:Q15),"n/d")</x:f>
        <x:v>n/d</x:v>
      </x:c>
      <x:c r="K93" s="3" t="str">
        <x:f>IF(COUNT(P15:S15)=4,SUM(P15:S15),"n/d")</x:f>
        <x:v>n/d</x:v>
      </x:c>
      <x:c r="L93" s="3" t="n">
        <x:f>IF(COUNT(T15:U15)=2,SUM(T15:U15),"n/d")</x:f>
        <x:v>0</x:v>
      </x:c>
      <x:c r="M93" s="3" t="n">
        <x:f>IF(COUNT(T15:W15)=4,SUM(T15:W15),"n/d")</x:f>
        <x:v>0</x:v>
      </x:c>
      <x:c r="N93" s="3"/>
      <x:c r="O93" s="3"/>
      <x:c r="P93" s="3"/>
      <x:c r="Q93" s="3"/>
      <x:c r="R93" s="3"/>
      <x:c r="S93" s="3"/>
      <x:c r="T93" s="3"/>
      <x:c r="U93" s="3"/>
      <x:c r="V93" s="3"/>
      <x:c r="W93" s="3"/>
    </x:row>
    <x:row r="94" ht="19" customHeight="1">
      <x:c r="A94" s="2"/>
      <x:c r="B94" s="2"/>
      <x:c r="C94" s="2" t="s">
        <x:v>129</x:v>
      </x:c>
      <x:c r="D94" s="3" t="n">
        <x:f>SUM(D16:E16)</x:f>
        <x:v>0.7000000000000001</x:v>
      </x:c>
      <x:c r="E94" s="3" t="n">
        <x:f>SUM(D16:G16)</x:f>
        <x:v>0.6999999999999988</x:v>
      </x:c>
      <x:c r="F94" s="3" t="n">
        <x:f>SUM(H16:I16)</x:f>
        <x:v>0.5099999999999999</x:v>
      </x:c>
      <x:c r="G94" s="3" t="n">
        <x:f>SUM(H16:K16)</x:f>
        <x:v>-0.6000000000000001</x:v>
      </x:c>
      <x:c r="H94" s="3" t="n">
        <x:f>SUM(L16:M16)</x:f>
        <x:v>-0.37096774193548354</x:v>
      </x:c>
      <x:c r="I94" s="3" t="n">
        <x:f>SUM(L16:O16)</x:f>
        <x:v>-0.4999999999999998</x:v>
      </x:c>
      <x:c r="J94" s="3" t="n">
        <x:f>SUM(P16:Q16)</x:f>
        <x:v>-0.9</x:v>
      </x:c>
      <x:c r="K94" s="3" t="n">
        <x:f>SUM(P16:S16)</x:f>
        <x:v>-0.9</x:v>
      </x:c>
      <x:c r="L94" s="3" t="n">
        <x:f>SUM(T16:U16)</x:f>
        <x:v>0</x:v>
      </x:c>
      <x:c r="M94" s="3" t="n">
        <x:f>SUM(T16:W16)</x:f>
        <x:v>0</x:v>
      </x:c>
      <x:c r="N94" s="3"/>
      <x:c r="O94" s="3"/>
      <x:c r="P94" s="3"/>
      <x:c r="Q94" s="3"/>
      <x:c r="R94" s="3"/>
      <x:c r="S94" s="3"/>
      <x:c r="T94" s="3"/>
      <x:c r="U94" s="3"/>
      <x:c r="V94" s="3"/>
      <x:c r="W94" s="3"/>
    </x:row>
    <x:row r="95" ht="19" customHeight="1">
      <x:c r="A95" s="2"/>
      <x:c r="B95" s="2"/>
      <x:c r="C95" s="2" t="s">
        <x:v>138</x:v>
      </x:c>
      <x:c r="D95" s="3" t="n">
        <x:f>SUM(D27:E27)</x:f>
        <x:v>460</x:v>
      </x:c>
      <x:c r="E95" s="3" t="n">
        <x:f>SUM(D27:G27)</x:f>
        <x:v>963</x:v>
      </x:c>
      <x:c r="F95" s="3" t="n">
        <x:f>SUM(H27:I27)</x:f>
        <x:v>551</x:v>
      </x:c>
      <x:c r="G95" s="3" t="n">
        <x:f>SUM(H27:K27)</x:f>
        <x:v>1097</x:v>
      </x:c>
      <x:c r="H95" s="3" t="n">
        <x:f>SUM(L27:M27)</x:f>
        <x:v>516.9999999999999</x:v>
      </x:c>
      <x:c r="I95" s="3" t="n">
        <x:f>SUM(L27:O27)</x:f>
        <x:v>1076.9999999999998</x:v>
      </x:c>
      <x:c r="J95" s="3" t="n">
        <x:f>SUM(P27:Q27)</x:f>
        <x:v>627</x:v>
      </x:c>
      <x:c r="K95" s="3" t="n">
        <x:f>SUM(P27:S27)</x:f>
        <x:v>1354.9429499999997</x:v>
      </x:c>
      <x:c r="L95" s="3" t="n">
        <x:f>SUM(T27:U27)</x:f>
        <x:v>764.7950618437496</x:v>
      </x:c>
      <x:c r="M95" s="3" t="n">
        <x:f>SUM(T27:W27)</x:f>
        <x:v>1568.3078736933392</x:v>
      </x:c>
      <x:c r="N95" s="3"/>
      <x:c r="O95" s="3"/>
      <x:c r="P95" s="3"/>
      <x:c r="Q95" s="3"/>
      <x:c r="R95" s="3"/>
      <x:c r="S95" s="3"/>
      <x:c r="T95" s="3"/>
      <x:c r="U95" s="3"/>
      <x:c r="V95" s="3"/>
      <x:c r="W95" s="3"/>
    </x:row>
    <x:row r="96" ht="19" customHeight="1">
      <x:c r="A96" s="2"/>
      <x:c r="B96" s="2"/>
      <x:c r="C96" s="2" t="s">
        <x:v>139</x:v>
      </x:c>
      <x:c r="D96" s="3" t="n">
        <x:f>SUM(D28:E28)</x:f>
        <x:v>32</x:v>
      </x:c>
      <x:c r="E96" s="3" t="n">
        <x:f>SUM(D28:G28)</x:f>
        <x:v>180</x:v>
      </x:c>
      <x:c r="F96" s="3" t="n">
        <x:f>SUM(H28:I28)</x:f>
        <x:v>170</x:v>
      </x:c>
      <x:c r="G96" s="3" t="n">
        <x:f>SUM(H28:K28)</x:f>
        <x:v>310</x:v>
      </x:c>
      <x:c r="H96" s="3" t="n">
        <x:f>SUM(L28:M28)</x:f>
        <x:v>67</x:v>
      </x:c>
      <x:c r="I96" s="3" t="n">
        <x:f>SUM(L28:O28)</x:f>
        <x:v>281</x:v>
      </x:c>
      <x:c r="J96" s="3" t="n">
        <x:f>SUM(P28:Q28)</x:f>
        <x:v>207</x:v>
      </x:c>
      <x:c r="K96" s="3" t="n">
        <x:f>SUM(P28:S28)</x:f>
        <x:v>421</x:v>
      </x:c>
      <x:c r="L96" s="3" t="n">
        <x:f>SUM(T28:U28)</x:f>
        <x:v>67</x:v>
      </x:c>
      <x:c r="M96" s="3" t="n">
        <x:f>SUM(T28:W28)</x:f>
        <x:v>281</x:v>
      </x:c>
      <x:c r="N96" s="3"/>
      <x:c r="O96" s="3"/>
      <x:c r="P96" s="3"/>
      <x:c r="Q96" s="3"/>
      <x:c r="R96" s="3"/>
      <x:c r="S96" s="3"/>
      <x:c r="T96" s="3"/>
      <x:c r="U96" s="3"/>
      <x:c r="V96" s="3"/>
      <x:c r="W96" s="3"/>
    </x:row>
    <x:row r="97" ht="19" customHeight="1">
      <x:c r="A97" s="2"/>
      <x:c r="B97" s="2"/>
      <x:c r="C97" s="2" t="s">
        <x:v>140</x:v>
      </x:c>
      <x:c r="D97" s="3" t="n">
        <x:f>SUM(D29:E29)</x:f>
        <x:v>19</x:v>
      </x:c>
      <x:c r="E97" s="3" t="n">
        <x:f>SUM(D29:G29)</x:f>
        <x:v>48</x:v>
      </x:c>
      <x:c r="F97" s="3" t="n">
        <x:f>SUM(H29:I29)</x:f>
        <x:v>39</x:v>
      </x:c>
      <x:c r="G97" s="3" t="n">
        <x:f>SUM(H29:K29)</x:f>
        <x:v>50</x:v>
      </x:c>
      <x:c r="H97" s="3" t="n">
        <x:f>SUM(L29:M29)</x:f>
        <x:v>19</x:v>
      </x:c>
      <x:c r="I97" s="3" t="n">
        <x:f>SUM(L29:O29)</x:f>
        <x:v>38</x:v>
      </x:c>
      <x:c r="J97" s="3" t="n">
        <x:f>SUM(P29:Q29)</x:f>
        <x:v>18</x:v>
      </x:c>
      <x:c r="K97" s="3" t="n">
        <x:f>SUM(P29:S29)</x:f>
        <x:v>37</x:v>
      </x:c>
      <x:c r="L97" s="3" t="n">
        <x:f>SUM(T29:U29)</x:f>
        <x:v>19</x:v>
      </x:c>
      <x:c r="M97" s="3" t="n">
        <x:f>SUM(T29:W29)</x:f>
        <x:v>38</x:v>
      </x:c>
      <x:c r="N97" s="3"/>
      <x:c r="O97" s="3"/>
      <x:c r="P97" s="3"/>
      <x:c r="Q97" s="3"/>
      <x:c r="R97" s="3"/>
      <x:c r="S97" s="3"/>
      <x:c r="T97" s="3"/>
      <x:c r="U97" s="3"/>
      <x:c r="V97" s="3"/>
      <x:c r="W97" s="3"/>
    </x:row>
    <x:row r="98" ht="19" customHeight="1">
      <x:c r="A98" s="2"/>
      <x:c r="B98" s="2"/>
      <x:c r="C98" s="2" t="s">
        <x:v>141</x:v>
      </x:c>
      <x:c r="D98" s="3" t="n">
        <x:f>SUM(D30:E30)</x:f>
        <x:v>2</x:v>
      </x:c>
      <x:c r="E98" s="3" t="n">
        <x:f>SUM(D30:G30)</x:f>
        <x:v>5</x:v>
      </x:c>
      <x:c r="F98" s="3" t="n">
        <x:f>SUM(H30:I30)</x:f>
        <x:v>1</x:v>
      </x:c>
      <x:c r="G98" s="3" t="n">
        <x:f>SUM(H30:K30)</x:f>
        <x:v>2</x:v>
      </x:c>
      <x:c r="H98" s="3" t="n">
        <x:f>SUM(L30:M30)</x:f>
        <x:v>1</x:v>
      </x:c>
      <x:c r="I98" s="3" t="n">
        <x:f>SUM(L30:O30)</x:f>
        <x:v>2</x:v>
      </x:c>
      <x:c r="J98" s="3" t="n">
        <x:f>SUM(P30:Q30)</x:f>
        <x:v>1</x:v>
      </x:c>
      <x:c r="K98" s="3" t="n">
        <x:f>SUM(P30:S30)</x:f>
        <x:v>2</x:v>
      </x:c>
      <x:c r="L98" s="3" t="n">
        <x:f>SUM(T30:U30)</x:f>
        <x:v>1</x:v>
      </x:c>
      <x:c r="M98" s="3" t="n">
        <x:f>SUM(T30:W30)</x:f>
        <x:v>2</x:v>
      </x:c>
      <x:c r="N98" s="3"/>
      <x:c r="O98" s="3"/>
      <x:c r="P98" s="3"/>
      <x:c r="Q98" s="3"/>
      <x:c r="R98" s="3"/>
      <x:c r="S98" s="3"/>
      <x:c r="T98" s="3"/>
      <x:c r="U98" s="3"/>
      <x:c r="V98" s="3"/>
      <x:c r="W98" s="3"/>
    </x:row>
    <x:row r="99" ht="19" customHeight="1">
      <x:c r="A99" s="2"/>
      <x:c r="B99" s="2"/>
      <x:c r="C99" s="2" t="s">
        <x:v>142</x:v>
      </x:c>
      <x:c r="D99" s="3" t="n">
        <x:f>SUM(D31:E31)</x:f>
        <x:v>513</x:v>
      </x:c>
      <x:c r="E99" s="3" t="n">
        <x:f>SUM(D31:G31)</x:f>
        <x:v>1196</x:v>
      </x:c>
      <x:c r="F99" s="3" t="n">
        <x:f>SUM(H31:I31)</x:f>
        <x:v>761</x:v>
      </x:c>
      <x:c r="G99" s="3" t="n">
        <x:f>SUM(H31:K31)</x:f>
        <x:v>1459</x:v>
      </x:c>
      <x:c r="H99" s="3" t="n">
        <x:f>SUM(L31:M31)</x:f>
        <x:v>604</x:v>
      </x:c>
      <x:c r="I99" s="3" t="n">
        <x:f>SUM(L31:O31)</x:f>
        <x:v>1398</x:v>
      </x:c>
      <x:c r="J99" s="3" t="n">
        <x:f>SUM(P31:Q31)</x:f>
        <x:v>853</x:v>
      </x:c>
      <x:c r="K99" s="3" t="n">
        <x:f>SUM(P31:S31)</x:f>
        <x:v>1814.9429499999997</x:v>
      </x:c>
      <x:c r="L99" s="3" t="n">
        <x:f>SUM(T31:U31)</x:f>
        <x:v>851.7950618437496</x:v>
      </x:c>
      <x:c r="M99" s="3" t="n">
        <x:f>SUM(T31:W31)</x:f>
        <x:v>1889.307873693339</x:v>
      </x:c>
      <x:c r="N99" s="3"/>
      <x:c r="O99" s="3"/>
      <x:c r="P99" s="3"/>
      <x:c r="Q99" s="3"/>
      <x:c r="R99" s="3"/>
      <x:c r="S99" s="3"/>
      <x:c r="T99" s="3"/>
      <x:c r="U99" s="3"/>
      <x:c r="V99" s="3"/>
      <x:c r="W99" s="3"/>
    </x:row>
    <x:row r="100" ht="19" customHeight="1">
      <x:c r="A100" s="2"/>
      <x:c r="B100" s="2"/>
      <x:c r="C100" s="2" t="s">
        <x:v>152</x:v>
      </x:c>
      <x:c r="D100" s="3" t="n">
        <x:f>SUM(D42:E42)</x:f>
        <x:v>-370</x:v>
      </x:c>
      <x:c r="E100" s="3" t="n">
        <x:f>SUM(D42:G42)</x:f>
        <x:v>-834</x:v>
      </x:c>
      <x:c r="F100" s="3" t="n">
        <x:f>SUM(H42:I42)</x:f>
        <x:v>-487</x:v>
      </x:c>
      <x:c r="G100" s="3" t="n">
        <x:f>SUM(H42:K42)</x:f>
        <x:v>-960.0000000000001</x:v>
      </x:c>
      <x:c r="H100" s="3" t="n">
        <x:f>SUM(L42:M42)</x:f>
        <x:v>-449</x:v>
      </x:c>
      <x:c r="I100" s="3" t="n">
        <x:f>SUM(L42:O42)</x:f>
        <x:v>-970</x:v>
      </x:c>
      <x:c r="J100" s="3" t="n">
        <x:f>SUM(P42:Q42)</x:f>
        <x:v>-546</x:v>
      </x:c>
      <x:c r="K100" s="3" t="n">
        <x:f>SUM(P42:S42)</x:f>
        <x:v>-1124.404322034071</x:v>
      </x:c>
      <x:c r="L100" s="3" t="n">
        <x:f>SUM(T42:U42)</x:f>
        <x:v>-498.5594068245066</x:v>
      </x:c>
      <x:c r="M100" s="3" t="n">
        <x:f>SUM(T42:W42)</x:f>
        <x:v>-1096.553767632043</x:v>
      </x:c>
      <x:c r="N100" s="3"/>
      <x:c r="O100" s="3"/>
      <x:c r="P100" s="3"/>
      <x:c r="Q100" s="3"/>
      <x:c r="R100" s="3"/>
      <x:c r="S100" s="3"/>
      <x:c r="T100" s="3"/>
      <x:c r="U100" s="3"/>
      <x:c r="V100" s="3"/>
      <x:c r="W100" s="3"/>
    </x:row>
    <x:row r="101">
      <x:c r="C101" t="s">
        <x:v>154</x:v>
      </x:c>
      <x:c r="D101" s="52" t="n">
        <x:f>SUM(D44:E44)</x:f>
        <x:v>142.99999999999997</x:v>
      </x:c>
      <x:c r="E101" s="52" t="n">
        <x:f>SUM(D44:G44)</x:f>
        <x:v>362.00000000000006</x:v>
      </x:c>
      <x:c r="F101" s="52" t="n">
        <x:f>SUM(H44:I44)</x:f>
        <x:v>274</x:v>
      </x:c>
      <x:c r="G101" s="52" t="n">
        <x:f>SUM(H44:K44)</x:f>
        <x:v>498.99999999999994</x:v>
      </x:c>
      <x:c r="H101" s="52" t="n">
        <x:f>SUM(L44:M44)</x:f>
        <x:v>154.99999999999997</x:v>
      </x:c>
      <x:c r="I101" s="52" t="n">
        <x:f>SUM(L44:O44)</x:f>
        <x:v>428</x:v>
      </x:c>
      <x:c r="J101" s="52" t="n">
        <x:f>SUM(P44:Q44)</x:f>
        <x:v>306.99999999999994</x:v>
      </x:c>
      <x:c r="K101" s="52" t="n">
        <x:f>SUM(P44:S44)</x:f>
        <x:v>690.5386279659288</x:v>
      </x:c>
      <x:c r="L101" s="52" t="n">
        <x:f>SUM(T44:U44)</x:f>
        <x:v>353.2356550192431</x:v>
      </x:c>
      <x:c r="M101" s="52" t="n">
        <x:f>SUM(T44:W44)</x:f>
        <x:v>792.7541060612962</x:v>
      </x:c>
    </x:row>
    <x:row r="102">
      <x:c r="C102" t="s">
        <x:v>160</x:v>
      </x:c>
      <x:c r="D102" s="52" t="n">
        <x:f>SUM(D51:E51)</x:f>
        <x:v>133</x:v>
      </x:c>
      <x:c r="E102" s="52" t="n">
        <x:f>SUM(D51:G51)</x:f>
        <x:v>280</x:v>
      </x:c>
      <x:c r="F102" s="52" t="n">
        <x:f>SUM(H51:I51)</x:f>
        <x:v>162.99999999999997</x:v>
      </x:c>
      <x:c r="G102" s="52" t="n">
        <x:f>SUM(H51:K51)</x:f>
        <x:v>323</x:v>
      </x:c>
      <x:c r="H102" s="52" t="n">
        <x:f>SUM(L51:M51)</x:f>
        <x:v>129.99999999999994</x:v>
      </x:c>
      <x:c r="I102" s="52" t="n">
        <x:f>SUM(L51:O51)</x:f>
        <x:v>293.99999999999994</x:v>
      </x:c>
      <x:c r="J102" s="52" t="n">
        <x:f>SUM(P51:Q51)</x:f>
        <x:v>186</x:v>
      </x:c>
      <x:c r="K102" s="52" t="n">
        <x:f>SUM(P51:S51)</x:f>
        <x:v>473.73768752705735</x:v>
      </x:c>
      <x:c r="L102" s="52" t="n">
        <x:f>SUM(T51:U51)</x:f>
        <x:v>315.03659545811456</x:v>
      </x:c>
      <x:c r="M102" s="52" t="n">
        <x:f>SUM(T51:W51)</x:f>
        <x:v>658.7541060612962</x:v>
      </x:c>
    </x:row>
    <x:row r="103">
      <x:c r="C103" t="s">
        <x:v>161</x:v>
      </x:c>
      <x:c r="D103" s="52" t="n">
        <x:f>SUM(D52:E52)</x:f>
        <x:v>3.9999999999999956</x:v>
      </x:c>
      <x:c r="E103" s="52" t="n">
        <x:f>SUM(D52:G52)</x:f>
        <x:v>60</x:v>
      </x:c>
      <x:c r="F103" s="52" t="n">
        <x:f>SUM(H52:I52)</x:f>
        <x:v>94</x:v>
      </x:c>
      <x:c r="G103" s="52" t="n">
        <x:f>SUM(H52:K52)</x:f>
        <x:v>150</x:v>
      </x:c>
      <x:c r="H103" s="52" t="n">
        <x:f>SUM(L52:M52)</x:f>
        <x:v>16.000000000000007</x:v>
      </x:c>
      <x:c r="I103" s="52" t="n">
        <x:f>SUM(L52:O52)</x:f>
        <x:v>113</x:v>
      </x:c>
      <x:c r="J103" s="52" t="n">
        <x:f>SUM(P52:Q52)</x:f>
        <x:v>111</x:v>
      </x:c>
      <x:c r="K103" s="52" t="n">
        <x:f>SUM(P52:S52)</x:f>
        <x:v>196.03937460257254</x:v>
      </x:c>
      <x:c r="L103" s="52" t="n">
        <x:f>SUM(T52:U52)</x:f>
        <x:v>27.96062539742747</x:v>
      </x:c>
      <x:c r="M103" s="52" t="n">
        <x:f>SUM(T52:W52)</x:f>
        <x:v>113.00000000000003</x:v>
      </x:c>
    </x:row>
    <x:row r="104">
      <x:c r="C104" t="s">
        <x:v>162</x:v>
      </x:c>
      <x:c r="D104" s="52" t="n">
        <x:f>SUM(D53:E53)</x:f>
        <x:v>136.99999999999997</x:v>
      </x:c>
      <x:c r="E104" s="52" t="n">
        <x:f>SUM(D53:G53)</x:f>
        <x:v>340</x:v>
      </x:c>
      <x:c r="F104" s="52" t="n">
        <x:f>SUM(H53:I53)</x:f>
        <x:v>257</x:v>
      </x:c>
      <x:c r="G104" s="52" t="n">
        <x:f>SUM(H53:K53)</x:f>
        <x:v>473</x:v>
      </x:c>
      <x:c r="H104" s="52" t="n">
        <x:f>SUM(L53:M53)</x:f>
        <x:v>145.99999999999994</x:v>
      </x:c>
      <x:c r="I104" s="52" t="n">
        <x:f>SUM(L53:O53)</x:f>
        <x:v>406.99999999999994</x:v>
      </x:c>
      <x:c r="J104" s="52" t="n">
        <x:f>SUM(P53:Q53)</x:f>
        <x:v>297</x:v>
      </x:c>
      <x:c r="K104" s="52" t="n">
        <x:f>SUM(P53:S53)</x:f>
        <x:v>669.7770621296299</x:v>
      </x:c>
      <x:c r="L104" s="52" t="n">
        <x:f>SUM(T53:U53)</x:f>
        <x:v>342.9972208555421</x:v>
      </x:c>
      <x:c r="M104" s="52" t="n">
        <x:f>SUM(T53:W53)</x:f>
        <x:v>771.7541060612963</x:v>
      </x:c>
    </x:row>
    <x:row r="105">
      <x:c r="C105" t="s">
        <x:v>163</x:v>
      </x:c>
      <x:c r="D105" s="52" t="n">
        <x:f>SUM(D54:E54)</x:f>
        <x:v>-28.999999999999996</x:v>
      </x:c>
      <x:c r="E105" s="52" t="n">
        <x:f>SUM(D54:G54)</x:f>
        <x:v>-69</x:v>
      </x:c>
      <x:c r="F105" s="52" t="n">
        <x:f>SUM(H54:I54)</x:f>
        <x:v>-53</x:v>
      </x:c>
      <x:c r="G105" s="52" t="n">
        <x:f>SUM(H54:K54)</x:f>
        <x:v>-92</x:v>
      </x:c>
      <x:c r="H105" s="52" t="n">
        <x:f>SUM(L54:M54)</x:f>
        <x:v>-32.999999999999986</x:v>
      </x:c>
      <x:c r="I105" s="52" t="n">
        <x:f>SUM(L54:O54)</x:f>
        <x:v>-85.99999999999999</x:v>
      </x:c>
      <x:c r="J105" s="52" t="n">
        <x:f>SUM(P54:Q54)</x:f>
        <x:v>-67</x:v>
      </x:c>
      <x:c r="K105" s="52" t="n">
        <x:f>SUM(P54:S54)</x:f>
        <x:v>-145.7686175507326</x:v>
      </x:c>
      <x:c r="L105" s="52" t="n">
        <x:f>SUM(T54:U54)</x:f>
        <x:v>-72.47607123728898</x:v>
      </x:c>
      <x:c r="M105" s="52" t="n">
        <x:f>SUM(T54:W54)</x:f>
        <x:v>-163.07334919231323</x:v>
      </x:c>
    </x:row>
    <x:row r="106">
      <x:c r="C106" t="s">
        <x:v>164</x:v>
      </x:c>
      <x:c r="D106" s="52" t="n">
        <x:f>SUM(D55:E55)</x:f>
        <x:v>107.99999999999997</x:v>
      </x:c>
      <x:c r="E106" s="52" t="n">
        <x:f>SUM(D55:G55)</x:f>
        <x:v>271</x:v>
      </x:c>
      <x:c r="F106" s="52" t="n">
        <x:f>SUM(H55:I55)</x:f>
        <x:v>203.99999999999997</x:v>
      </x:c>
      <x:c r="G106" s="52" t="n">
        <x:f>SUM(H55:K55)</x:f>
        <x:v>381</x:v>
      </x:c>
      <x:c r="H106" s="52" t="n">
        <x:f>SUM(L55:M55)</x:f>
        <x:v>112.99999999999994</x:v>
      </x:c>
      <x:c r="I106" s="52" t="n">
        <x:f>SUM(L55:O55)</x:f>
        <x:v>320.99999999999994</x:v>
      </x:c>
      <x:c r="J106" s="52" t="n">
        <x:f>SUM(P55:Q55)</x:f>
        <x:v>230.00000000000003</x:v>
      </x:c>
      <x:c r="K106" s="52" t="n">
        <x:f>SUM(P55:S55)</x:f>
        <x:v>524.0084445788973</x:v>
      </x:c>
      <x:c r="L106" s="52" t="n">
        <x:f>SUM(T55:U55)</x:f>
        <x:v>270.52114961825305</x:v>
      </x:c>
      <x:c r="M106" s="52" t="n">
        <x:f>SUM(T55:W55)</x:f>
        <x:v>608.680756868983</x:v>
      </x:c>
    </x:row>
    <x:row r="107">
      <x:c r="C107" t="s">
        <x:v>165</x:v>
      </x:c>
      <x:c r="D107" s="52" t="n">
        <x:f>(D56*90+E56*91)/181</x:f>
        <x:v>1217</x:v>
      </x:c>
      <x:c r="E107" s="52" t="n">
        <x:f>(D56*90+E56*91+F56*92+G56*92)/365</x:f>
        <x:v>1207.0554419999999</x:v>
      </x:c>
      <x:c r="F107" s="52" t="n">
        <x:f>(H56*91+I56*91)/182</x:f>
        <x:v>1192</x:v>
      </x:c>
      <x:c r="G107" s="52" t="n">
        <x:f>(H56*91+I56*91+J56*92+K56*92)/366</x:f>
        <x:v>1189.075845</x:v>
      </x:c>
      <x:c r="H107" s="52" t="n">
        <x:f>(L56*90+M56*91)/181</x:f>
        <x:v>1168</x:v>
      </x:c>
      <x:c r="I107" s="52" t="n">
        <x:f>(L56*90+M56*91+N56*92+O56*92)/365</x:f>
        <x:v>1164.877368</x:v>
      </x:c>
      <x:c r="J107" s="52" t="n">
        <x:f>(P56*90+Q56*91)/181</x:f>
        <x:v>1153</x:v>
      </x:c>
      <x:c r="K107" s="52" t="n">
        <x:f>(P56*90+Q56*91+R56*92+S56*92)/365</x:f>
        <x:v>1158.9874951013699</x:v>
      </x:c>
      <x:c r="L107" s="52" t="n">
        <x:f>(T56*90+U56*91)/181</x:f>
        <x:v>1164.877368</x:v>
      </x:c>
      <x:c r="M107" s="52" t="n">
        <x:f>(T56*90+U56*91+V56*92+W56*92)/365</x:f>
        <x:v>1164.877368</x:v>
      </x:c>
    </x:row>
    <x:row r="108">
      <x:c r="C108" t="s">
        <x:v>32</x:v>
      </x:c>
      <x:c r="D108" s="53" t="n">
        <x:f>D106/D107*Assumptions!$D$61</x:f>
        <x:v>8.874281018898929</x:v>
      </x:c>
      <x:c r="E108" s="53" t="n">
        <x:f>E106/E107*Assumptions!$D$61</x:f>
        <x:v>22.451329953077668</x:v>
      </x:c>
      <x:c r="F108" s="53" t="n">
        <x:f>F106/F107*Assumptions!$D$61</x:f>
        <x:v>17.11409395973154</x:v>
      </x:c>
      <x:c r="G108" s="53" t="n">
        <x:f>G106/G107*Assumptions!$D$61</x:f>
        <x:v>32.04169032632229</x:v>
      </x:c>
      <x:c r="H108" s="53" t="n">
        <x:f>H106/H107*Assumptions!$D$61</x:f>
        <x:v>9.67465753424657</x:v>
      </x:c>
      <x:c r="I108" s="53" t="n">
        <x:f>I106/I107*Assumptions!$D$61</x:f>
        <x:v>27.55654876797297</x:v>
      </x:c>
      <x:c r="J108" s="53" t="n">
        <x:f>J106/J107*Assumptions!$D$61</x:f>
        <x:v>19.947961838681703</x:v>
      </x:c>
      <x:c r="K108" s="53" t="n">
        <x:f>K106/K107*Assumptions!$D$61</x:f>
        <x:v>45.21260555387315</x:v>
      </x:c>
      <x:c r="L108" s="53" t="n">
        <x:f>L106/L107*Assumptions!$D$61</x:f>
        <x:v>23.22314408792369</x:v>
      </x:c>
      <x:c r="M108" s="53" t="n">
        <x:f>M106/M107*Assumptions!$D$61</x:f>
        <x:v>52.25277557877518</x:v>
      </x:c>
    </x:row>
    <x:row r="109">
      <x:c r="C109" t="s">
        <x:v>137</x:v>
      </x:c>
      <x:c r="D109" s="54" t="n">
        <x:f>D95/D88/Assumptions!$D$49*Assumptions!$D$60/0.5</x:f>
        <x:v>62.97056810403833</x:v>
      </x:c>
      <x:c r="E109" s="54" t="n">
        <x:f>E95/E88/Assumptions!$D$49*Assumptions!$D$60/1</x:f>
        <x:v>62.83849918433931</x:v>
      </x:c>
      <x:c r="F109" s="54" t="n">
        <x:f>F95/F88/Assumptions!$D$49*Assumptions!$D$60/0.5</x:f>
        <x:v>63.233395495624734</x:v>
      </x:c>
      <x:c r="G109" s="54" t="n">
        <x:f>G95/G88/Assumptions!$D$49*Assumptions!$D$60/1</x:f>
        <x:v>62.96907512377127</x:v>
      </x:c>
      <x:c r="H109" s="54" t="n">
        <x:f>H95/H88/Assumptions!$D$49*Assumptions!$D$60/0.5</x:f>
        <x:v>58.49243388488188</x:v>
      </x:c>
      <x:c r="I109" s="54" t="n">
        <x:f>I95/I88/Assumptions!$D$49*Assumptions!$D$60/1</x:f>
        <x:v>55.37986887774776</x:v>
      </x:c>
      <x:c r="J109" s="54" t="n">
        <x:f>J95/J88/Assumptions!$D$49*Assumptions!$D$60/0.5</x:f>
        <x:v>53.44129554655871</x:v>
      </x:c>
      <x:c r="K109" s="54" t="n">
        <x:f>K95/K88/Assumptions!$D$49*Assumptions!$D$60/1</x:f>
        <x:v>54.786162474599045</x:v>
      </x:c>
      <x:c r="L109" s="54" t="n">
        <x:f>L95/L88/Assumptions!$D$49*Assumptions!$D$60/0.5</x:f>
        <x:v>56</x:v>
      </x:c>
      <x:c r="M109" s="54" t="n">
        <x:f>M95/M88/Assumptions!$D$49*Assumptions!$D$60/1</x:f>
        <x:v>56</x:v>
      </x:c>
    </x:row>
  </x:sheetData>
  <x:pageMargins left="0.7" right="0.7" top="0.75" bottom="0.75" header="0.3" footer="0.3"/>
  <x:drawing xmlns:r="http://schemas.openxmlformats.org/officeDocument/2006/relationships" r:id="R90a8288bbed94d3c"/>
  <x:legacyDrawing xmlns:r="http://schemas.openxmlformats.org/officeDocument/2006/relationships" r:id="Re7ad9c74206b4101"/>
</x:worksheet>
</file>

<file path=xl/worksheets/sheet4.xml><?xml version="1.0" encoding="utf-8"?>
<x:worksheet xmlns:x="http://schemas.openxmlformats.org/spreadsheetml/2006/main">
  <x:sheetPr>
    <x:tabColor rgb="FF96A3AF"/>
  </x:sheetPr>
  <x:sheetViews>
    <x:sheetView showGridLines="0" workbookViewId="0">
      <x:pane xSplit="3" ySplit="8" topLeftCell="D9" activePane="bottomRight" state="frozen"/>
    </x:sheetView>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191</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t="s">
        <x:v>192</x:v>
      </x:c>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19" customHeight="1">
      <x:c r="A7" s="2"/>
      <x:c r="B7" s="2"/>
      <x:c r="C7" s="11" t="s">
        <x:v>193</x:v>
      </x:c>
      <x:c r="D7" s="12"/>
      <x:c r="E7" s="12"/>
      <x:c r="F7" s="12"/>
      <x:c r="G7" s="12"/>
      <x:c r="H7" s="12"/>
      <x:c r="I7" s="12"/>
      <x:c r="J7" s="12"/>
      <x:c r="K7" s="12"/>
      <x:c r="L7" s="12"/>
      <x:c r="M7" s="12"/>
      <x:c r="N7" s="12"/>
      <x:c r="O7" s="12"/>
      <x:c r="P7" s="12"/>
      <x:c r="Q7" s="12"/>
      <x:c r="R7" s="3"/>
      <x:c r="S7" s="3"/>
      <x:c r="T7" s="3"/>
      <x:c r="U7" s="3"/>
      <x:c r="V7" s="3"/>
      <x:c r="W7" s="3"/>
    </x:row>
    <x:row r="8" ht="19" customHeight="1">
      <x:c r="A8" s="2"/>
      <x:c r="B8" s="2"/>
      <x:c r="C8" s="2"/>
      <x:c r="D8" s="58" t="s">
        <x:v>62</x:v>
      </x:c>
      <x:c r="E8" s="58" t="s">
        <x:v>63</x:v>
      </x:c>
      <x:c r="F8" s="58" t="s">
        <x:v>64</x:v>
      </x:c>
      <x:c r="G8" s="58" t="s">
        <x:v>65</x:v>
      </x:c>
      <x:c r="H8" s="58" t="s">
        <x:v>66</x:v>
      </x:c>
      <x:c r="I8" s="58" t="s">
        <x:v>67</x:v>
      </x:c>
      <x:c r="J8" s="58" t="s">
        <x:v>68</x:v>
      </x:c>
      <x:c r="K8" s="58" t="s">
        <x:v>69</x:v>
      </x:c>
      <x:c r="L8" s="58" t="s">
        <x:v>70</x:v>
      </x:c>
      <x:c r="M8" s="58" t="s">
        <x:v>71</x:v>
      </x:c>
      <x:c r="N8" s="58" t="s">
        <x:v>72</x:v>
      </x:c>
      <x:c r="O8" s="58" t="s">
        <x:v>73</x:v>
      </x:c>
      <x:c r="P8" s="58" t="s">
        <x:v>74</x:v>
      </x:c>
      <x:c r="Q8" s="58" t="s">
        <x:v>75</x:v>
      </x:c>
      <x:c r="R8" s="59"/>
      <x:c r="S8" s="59"/>
      <x:c r="T8" s="59"/>
      <x:c r="U8" s="59"/>
      <x:c r="V8" s="59"/>
      <x:c r="W8" s="59"/>
    </x:row>
    <x:row r="9" ht="19" customHeight="1">
      <x:c r="A9" s="2"/>
      <x:c r="B9" s="2"/>
      <x:c r="C9" s="2" t="s">
        <x:v>194</x:v>
      </x:c>
      <x:c r="D9" s="13">
        <x:v>143.30000000000001</x:v>
      </x:c>
      <x:c r="E9" s="13">
        <x:v>144.69999999999999</x:v>
      </x:c>
      <x:c r="F9" s="13">
        <x:v>151.69999999999999</x:v>
      </x:c>
      <x:c r="G9" s="13">
        <x:v>161.19999999999999</x:v>
      </x:c>
      <x:c r="H9" s="13">
        <x:v>167.5</x:v>
      </x:c>
      <x:c r="I9" s="13">
        <x:v>175.7</x:v>
      </x:c>
      <x:c r="J9" s="13">
        <x:v>178.2</x:v>
      </x:c>
      <x:c r="K9" s="13">
        <x:v>174.9</x:v>
      </x:c>
      <x:c r="L9" s="13">
        <x:v>168.6</x:v>
      </x:c>
      <x:c r="M9" s="13">
        <x:v>172.6</x:v>
      </x:c>
      <x:c r="N9" s="13">
        <x:v>193.3</x:v>
      </x:c>
      <x:c r="O9" s="13">
        <x:v>213.9</x:v>
      </x:c>
      <x:c r="P9" s="13">
        <x:v>227.6</x:v>
      </x:c>
      <x:c r="Q9" s="13">
        <x:v>228.7</x:v>
      </x:c>
      <x:c r="R9" s="3"/>
      <x:c r="S9" s="3"/>
      <x:c r="T9" s="3"/>
      <x:c r="U9" s="3"/>
      <x:c r="V9" s="3"/>
      <x:c r="W9" s="3"/>
    </x:row>
    <x:row r="10" ht="19" customHeight="1">
      <x:c r="A10" s="2"/>
      <x:c r="B10" s="2"/>
      <x:c r="C10" s="2" t="s">
        <x:v>123</x:v>
      </x:c>
      <x:c r="D10" s="13">
        <x:v>1.1000000000000001</x:v>
      </x:c>
      <x:c r="E10" s="13">
        <x:v>1.5</x:v>
      </x:c>
      <x:c r="F10" s="13">
        <x:v>0.7</x:v>
      </x:c>
      <x:c r="G10" s="13">
        <x:v>-0.3</x:v>
      </x:c>
      <x:c r="H10" s="13">
        <x:v>-1.6</x:v>
      </x:c>
      <x:c r="I10" s="13">
        <x:v>2.5</x:v>
      </x:c>
      <x:c r="J10" s="13">
        <x:v>-5.5</x:v>
      </x:c>
      <x:c r="K10" s="13">
        <x:v>1.3</x:v>
      </x:c>
      <x:c r="L10" s="13">
        <x:v>3.6</x:v>
      </x:c>
      <x:c r="M10" s="13">
        <x:v>14</x:v>
      </x:c>
      <x:c r="N10" s="13">
        <x:v>9.6999999999999993</x:v>
      </x:c>
      <x:c r="O10" s="13">
        <x:v>1.4</x:v>
      </x:c>
      <x:c r="P10" s="13">
        <x:v>-1.6</x:v>
      </x:c>
      <x:c r="Q10" s="13">
        <x:v>8.6999999999999993</x:v>
      </x:c>
      <x:c r="R10" s="3"/>
      <x:c r="S10" s="3"/>
      <x:c r="T10" s="3"/>
      <x:c r="U10" s="3"/>
      <x:c r="V10" s="3"/>
      <x:c r="W10" s="3"/>
    </x:row>
    <x:row r="11" ht="19" customHeight="1">
      <x:c r="A11" s="2"/>
      <x:c r="B11" s="2"/>
      <x:c r="C11" s="2" t="s">
        <x:v>124</x:v>
      </x:c>
      <x:c r="D11" s="13">
        <x:v>0.7</x:v>
      </x:c>
      <x:c r="E11" s="13">
        <x:v>4.4000000000000004</x:v>
      </x:c>
      <x:c r="F11" s="13">
        <x:v>0.1</x:v>
      </x:c>
      <x:c r="G11" s="13">
        <x:v>4.5</x:v>
      </x:c>
      <x:c r="H11" s="13">
        <x:v>9.8000000000000007</x:v>
      </x:c>
      <x:c r="I11" s="13">
        <x:v>1.3</x:v>
      </x:c>
      <x:c r="J11" s="13">
        <x:v>0.4</x:v>
      </x:c>
      <x:c r="K11" s="13">
        <x:v>-0.6</x:v>
      </x:c>
      <x:c r="L11" s="13">
        <x:v>-1.1000000000000001</x:v>
      </x:c>
      <x:c r="M11" s="13">
        <x:v>3.6</x:v>
      </x:c>
      <x:c r="N11" s="13">
        <x:v>10</x:v>
      </x:c>
      <x:c r="O11" s="13">
        <x:v>8.9</x:v>
      </x:c>
      <x:c r="P11" s="13">
        <x:v>3.1</x:v>
      </x:c>
      <x:c r="Q11" s="13">
        <x:v>16.7</x:v>
      </x:c>
      <x:c r="R11" s="3"/>
      <x:c r="S11" s="3"/>
      <x:c r="T11" s="3"/>
      <x:c r="U11" s="3"/>
      <x:c r="V11" s="3"/>
      <x:c r="W11" s="3"/>
    </x:row>
    <x:row r="12" ht="19" customHeight="1">
      <x:c r="A12" s="2"/>
      <x:c r="B12" s="2"/>
      <x:c r="C12" s="2" t="s">
        <x:v>195</x:v>
      </x:c>
      <x:c r="D12" s="13">
        <x:v>-0.4</x:v>
      </x:c>
      <x:c r="E12" s="13">
        <x:v>1.1000000000000001</x:v>
      </x:c>
      <x:c r="F12" s="13">
        <x:v>8.6999999999999993</x:v>
      </x:c>
      <x:c r="G12" s="13">
        <x:v>2.1</x:v>
      </x:c>
      <x:c r="H12" s="13">
        <x:v>0</x:v>
      </x:c>
      <x:c r="I12" s="13">
        <x:v>-1.3</x:v>
      </x:c>
      <x:c r="J12" s="13">
        <x:v>1.8</x:v>
      </x:c>
      <x:c r="K12" s="13">
        <x:v>-7</x:v>
      </x:c>
      <x:c r="L12" s="13">
        <x:v>1.5</x:v>
      </x:c>
      <x:c r="M12" s="13">
        <x:v>3.1</x:v>
      </x:c>
      <x:c r="N12" s="13">
        <x:v>0.9</x:v>
      </x:c>
      <x:c r="O12" s="13">
        <x:v>3.4</x:v>
      </x:c>
      <x:c r="P12" s="13">
        <x:v>-0.4</x:v>
      </x:c>
      <x:c r="Q12" s="13">
        <x:v>-0.5</x:v>
      </x:c>
      <x:c r="R12" s="3"/>
      <x:c r="S12" s="3"/>
      <x:c r="T12" s="3"/>
      <x:c r="U12" s="3"/>
      <x:c r="V12" s="3"/>
      <x:c r="W12" s="3"/>
    </x:row>
    <x:row r="13" ht="19" customHeight="1">
      <x:c r="A13" s="2"/>
      <x:c r="B13" s="2"/>
      <x:c r="C13" s="2" t="s">
        <x:v>196</x:v>
      </x:c>
      <x:c r="D13" s="13">
        <x:v>144.69999999999999</x:v>
      </x:c>
      <x:c r="E13" s="13">
        <x:v>151.69999999999999</x:v>
      </x:c>
      <x:c r="F13" s="13">
        <x:v>161.19999999999999</x:v>
      </x:c>
      <x:c r="G13" s="13">
        <x:v>167.5</x:v>
      </x:c>
      <x:c r="H13" s="13">
        <x:v>175.7</x:v>
      </x:c>
      <x:c r="I13" s="13">
        <x:v>178.2</x:v>
      </x:c>
      <x:c r="J13" s="13">
        <x:v>174.9</x:v>
      </x:c>
      <x:c r="K13" s="13">
        <x:v>168.6</x:v>
      </x:c>
      <x:c r="L13" s="13">
        <x:v>172.6</x:v>
      </x:c>
      <x:c r="M13" s="13">
        <x:v>193.3</x:v>
      </x:c>
      <x:c r="N13" s="13">
        <x:v>213.9</x:v>
      </x:c>
      <x:c r="O13" s="13">
        <x:v>227.6</x:v>
      </x:c>
      <x:c r="P13" s="13">
        <x:v>228.7</x:v>
      </x:c>
      <x:c r="Q13" s="13">
        <x:v>253.6</x:v>
      </x:c>
      <x:c r="R13" s="3"/>
      <x:c r="S13" s="3"/>
      <x:c r="T13" s="3"/>
      <x:c r="U13" s="3"/>
      <x:c r="V13" s="3"/>
      <x:c r="W13" s="3"/>
    </x:row>
    <x:row r="14" ht="19" customHeight="1">
      <x:c r="A14" s="2"/>
      <x:c r="B14" s="2"/>
      <x:c r="C14" s="2" t="s">
        <x:v>197</x:v>
      </x:c>
      <x:c r="D14" s="13">
        <x:v>0</x:v>
      </x:c>
      <x:c r="E14" s="13">
        <x:v>0</x:v>
      </x:c>
      <x:c r="F14" s="13">
        <x:v>10.8</x:v>
      </x:c>
      <x:c r="G14" s="13">
        <x:v>0</x:v>
      </x:c>
      <x:c r="H14" s="13">
        <x:v>0</x:v>
      </x:c>
      <x:c r="I14" s="13">
        <x:v>0</x:v>
      </x:c>
      <x:c r="J14" s="13">
        <x:v>0</x:v>
      </x:c>
      <x:c r="K14" s="13">
        <x:v>0</x:v>
      </x:c>
      <x:c r="L14" s="13">
        <x:v>0</x:v>
      </x:c>
      <x:c r="M14" s="13">
        <x:v>0</x:v>
      </x:c>
      <x:c r="N14" s="13">
        <x:v>0</x:v>
      </x:c>
      <x:c r="O14" s="13">
        <x:v>2.7</x:v>
      </x:c>
      <x:c r="P14" s="13">
        <x:v>0</x:v>
      </x:c>
      <x:c r="Q14" s="13">
        <x:v>0</x:v>
      </x:c>
      <x:c r="R14" s="3"/>
      <x:c r="S14" s="3"/>
      <x:c r="T14" s="3"/>
      <x:c r="U14" s="3"/>
      <x:c r="V14" s="3"/>
      <x:c r="W14" s="3"/>
    </x:row>
    <x:row r="15" ht="19" customHeight="1">
      <x:c r="A15" s="2"/>
      <x:c r="B15" s="2"/>
      <x:c r="C15" s="2" t="s">
        <x:v>198</x:v>
      </x:c>
      <x:c r="D15" s="3" t="s">
        <x:v>199</x:v>
      </x:c>
      <x:c r="E15" s="3" t="s">
        <x:v>200</x:v>
      </x:c>
      <x:c r="F15" s="3" t="s">
        <x:v>201</x:v>
      </x:c>
      <x:c r="G15" s="3" t="s">
        <x:v>202</x:v>
      </x:c>
      <x:c r="H15" s="3" t="s">
        <x:v>203</x:v>
      </x:c>
      <x:c r="I15" s="3" t="s">
        <x:v>204</x:v>
      </x:c>
      <x:c r="J15" s="3" t="s">
        <x:v>205</x:v>
      </x:c>
      <x:c r="K15" s="3" t="s">
        <x:v>206</x:v>
      </x:c>
      <x:c r="L15" s="3" t="s">
        <x:v>207</x:v>
      </x:c>
      <x:c r="M15" s="3" t="s">
        <x:v>208</x:v>
      </x:c>
      <x:c r="N15" s="3" t="s">
        <x:v>209</x:v>
      </x:c>
      <x:c r="O15" s="3" t="s">
        <x:v>210</x:v>
      </x:c>
      <x:c r="P15" s="3" t="s">
        <x:v>211</x:v>
      </x:c>
      <x:c r="Q15" s="3" t="s">
        <x:v>212</x:v>
      </x:c>
      <x:c r="R15" s="3"/>
      <x:c r="S15" s="3"/>
      <x:c r="T15" s="3"/>
      <x:c r="U15" s="3"/>
      <x:c r="V15" s="3"/>
      <x:c r="W15" s="3"/>
    </x:row>
    <x:row r="16" ht="19" customHeight="1">
      <x:c r="A16" s="2"/>
      <x:c r="B16" s="2"/>
      <x:c r="C16" s="2"/>
      <x:c r="D16" s="3"/>
      <x:c r="E16" s="3"/>
      <x:c r="F16" s="3"/>
      <x:c r="G16" s="3"/>
      <x:c r="H16" s="3"/>
      <x:c r="I16" s="3"/>
      <x:c r="J16" s="3"/>
      <x:c r="K16" s="3"/>
      <x:c r="L16" s="3"/>
      <x:c r="M16" s="3"/>
      <x:c r="N16" s="3"/>
      <x:c r="O16" s="3"/>
      <x:c r="P16" s="3"/>
      <x:c r="Q16" s="3"/>
      <x:c r="R16" s="3"/>
      <x:c r="S16" s="3"/>
      <x:c r="T16" s="3"/>
      <x:c r="U16" s="3"/>
      <x:c r="V16" s="3"/>
      <x:c r="W16" s="3"/>
    </x:row>
    <x:row r="17" ht="19" customHeight="1">
      <x:c r="A17" s="2"/>
      <x:c r="B17" s="2"/>
      <x:c r="C17" s="2"/>
      <x:c r="D17" s="3"/>
      <x:c r="E17" s="3"/>
      <x:c r="F17" s="3"/>
      <x:c r="G17" s="3"/>
      <x:c r="H17" s="3"/>
      <x:c r="I17" s="3"/>
      <x:c r="J17" s="3"/>
      <x:c r="K17" s="3"/>
      <x:c r="L17" s="3"/>
      <x:c r="M17" s="3"/>
      <x:c r="N17" s="3"/>
      <x:c r="O17" s="3"/>
      <x:c r="P17" s="3"/>
      <x:c r="Q17" s="3"/>
      <x:c r="R17" s="3"/>
      <x:c r="S17" s="3"/>
      <x:c r="T17" s="3"/>
      <x:c r="U17" s="3"/>
      <x:c r="V17" s="3"/>
      <x:c r="W17" s="3"/>
    </x:row>
    <x:row r="18" ht="19" customHeight="1">
      <x:c r="A18" s="2"/>
      <x:c r="B18" s="2"/>
      <x:c r="C18" s="11" t="s">
        <x:v>213</x:v>
      </x:c>
      <x:c r="D18" s="12"/>
      <x:c r="E18" s="12"/>
      <x:c r="F18" s="12"/>
      <x:c r="G18" s="12"/>
      <x:c r="H18" s="12"/>
      <x:c r="I18" s="12"/>
      <x:c r="J18" s="12"/>
      <x:c r="K18" s="3"/>
      <x:c r="L18" s="3"/>
      <x:c r="M18" s="3"/>
      <x:c r="N18" s="3"/>
      <x:c r="O18" s="3"/>
      <x:c r="P18" s="3"/>
      <x:c r="Q18" s="3"/>
      <x:c r="R18" s="3"/>
      <x:c r="S18" s="3"/>
      <x:c r="T18" s="3"/>
      <x:c r="U18" s="3"/>
      <x:c r="V18" s="3"/>
      <x:c r="W18" s="3"/>
    </x:row>
    <x:row r="19" ht="19" customHeight="1">
      <x:c r="A19" s="2"/>
      <x:c r="B19" s="2"/>
      <x:c r="C19" s="2"/>
      <x:c r="D19" s="58" t="s">
        <x:v>3</x:v>
      </x:c>
      <x:c r="E19" s="58" t="s">
        <x:v>4</x:v>
      </x:c>
      <x:c r="F19" s="58" t="s">
        <x:v>5</x:v>
      </x:c>
      <x:c r="G19" s="58" t="s">
        <x:v>6</x:v>
      </x:c>
      <x:c r="H19" s="58" t="s">
        <x:v>7</x:v>
      </x:c>
      <x:c r="I19" s="58" t="s">
        <x:v>8</x:v>
      </x:c>
      <x:c r="J19" s="58" t="s">
        <x:v>9</x:v>
      </x:c>
      <x:c r="K19" s="3"/>
      <x:c r="L19" s="3"/>
      <x:c r="M19" s="3"/>
      <x:c r="N19" s="3"/>
      <x:c r="O19" s="3"/>
      <x:c r="P19" s="3"/>
      <x:c r="Q19" s="3"/>
      <x:c r="R19" s="3"/>
      <x:c r="S19" s="3"/>
      <x:c r="T19" s="3"/>
      <x:c r="U19" s="3"/>
      <x:c r="V19" s="3"/>
      <x:c r="W19" s="3"/>
    </x:row>
    <x:row r="20" ht="19" customHeight="1">
      <x:c r="A20" s="2"/>
      <x:c r="B20" s="2"/>
      <x:c r="C20" s="2" t="s">
        <x:v>214</x:v>
      </x:c>
      <x:c r="D20" s="13">
        <x:v>476</x:v>
      </x:c>
      <x:c r="E20" s="13">
        <x:v>995</x:v>
      </x:c>
      <x:c r="F20" s="13">
        <x:v>568</x:v>
      </x:c>
      <x:c r="G20" s="13">
        <x:v>1135</x:v>
      </x:c>
      <x:c r="H20" s="13">
        <x:v>543</x:v>
      </x:c>
      <x:c r="I20" s="13">
        <x:v>1136</x:v>
      </x:c>
      <x:c r="J20" s="13">
        <x:v>670</x:v>
      </x:c>
      <x:c r="K20" s="3"/>
      <x:c r="L20" s="3"/>
      <x:c r="M20" s="3"/>
      <x:c r="N20" s="3"/>
      <x:c r="O20" s="3"/>
      <x:c r="P20" s="3"/>
      <x:c r="Q20" s="3"/>
      <x:c r="R20" s="3"/>
      <x:c r="S20" s="3"/>
      <x:c r="T20" s="3"/>
      <x:c r="U20" s="3"/>
      <x:c r="V20" s="3"/>
      <x:c r="W20" s="3"/>
    </x:row>
    <x:row r="21" ht="19" customHeight="1">
      <x:c r="A21" s="2"/>
      <x:c r="B21" s="2"/>
      <x:c r="C21" s="2" t="s">
        <x:v>215</x:v>
      </x:c>
      <x:c r="D21" s="13">
        <x:v>16</x:v>
      </x:c>
      <x:c r="E21" s="13">
        <x:v>32</x:v>
      </x:c>
      <x:c r="F21" s="13">
        <x:v>17</x:v>
      </x:c>
      <x:c r="G21" s="13">
        <x:v>38</x:v>
      </x:c>
      <x:c r="H21" s="13">
        <x:v>26</x:v>
      </x:c>
      <x:c r="I21" s="13">
        <x:v>59</x:v>
      </x:c>
      <x:c r="J21" s="13">
        <x:v>43</x:v>
      </x:c>
      <x:c r="K21" s="3"/>
      <x:c r="L21" s="3"/>
      <x:c r="M21" s="3"/>
      <x:c r="N21" s="3"/>
      <x:c r="O21" s="3"/>
      <x:c r="P21" s="3"/>
      <x:c r="Q21" s="3"/>
      <x:c r="R21" s="3"/>
      <x:c r="S21" s="3"/>
      <x:c r="T21" s="3"/>
      <x:c r="U21" s="3"/>
      <x:c r="V21" s="3"/>
      <x:c r="W21" s="3"/>
    </x:row>
    <x:row r="22" ht="19" customHeight="1">
      <x:c r="A22" s="2"/>
      <x:c r="B22" s="2"/>
      <x:c r="C22" s="2" t="s">
        <x:v>216</x:v>
      </x:c>
      <x:c r="D22" s="13">
        <x:v>460</x:v>
      </x:c>
      <x:c r="E22" s="13">
        <x:v>963</x:v>
      </x:c>
      <x:c r="F22" s="13">
        <x:v>551</x:v>
      </x:c>
      <x:c r="G22" s="13">
        <x:v>1097</x:v>
      </x:c>
      <x:c r="H22" s="13">
        <x:v>517</x:v>
      </x:c>
      <x:c r="I22" s="13">
        <x:v>1077</x:v>
      </x:c>
      <x:c r="J22" s="13">
        <x:v>627</x:v>
      </x:c>
      <x:c r="K22" s="3"/>
      <x:c r="L22" s="3"/>
      <x:c r="M22" s="3"/>
      <x:c r="N22" s="3"/>
      <x:c r="O22" s="3"/>
      <x:c r="P22" s="3"/>
      <x:c r="Q22" s="3"/>
      <x:c r="R22" s="3"/>
      <x:c r="S22" s="3"/>
      <x:c r="T22" s="3"/>
      <x:c r="U22" s="3"/>
      <x:c r="V22" s="3"/>
      <x:c r="W22" s="3"/>
    </x:row>
    <x:row r="23" ht="19" customHeight="1">
      <x:c r="A23" s="2"/>
      <x:c r="B23" s="2"/>
      <x:c r="C23" s="2" t="s">
        <x:v>217</x:v>
      </x:c>
      <x:c r="D23" s="13">
        <x:v>32</x:v>
      </x:c>
      <x:c r="E23" s="13">
        <x:v>180</x:v>
      </x:c>
      <x:c r="F23" s="13">
        <x:v>170</x:v>
      </x:c>
      <x:c r="G23" s="13">
        <x:v>310</x:v>
      </x:c>
      <x:c r="H23" s="13">
        <x:v>67</x:v>
      </x:c>
      <x:c r="I23" s="13">
        <x:v>281</x:v>
      </x:c>
      <x:c r="J23" s="13">
        <x:v>207</x:v>
      </x:c>
      <x:c r="K23" s="3"/>
      <x:c r="L23" s="3"/>
      <x:c r="M23" s="3"/>
      <x:c r="N23" s="3"/>
      <x:c r="O23" s="3"/>
      <x:c r="P23" s="3"/>
      <x:c r="Q23" s="3"/>
      <x:c r="R23" s="3"/>
      <x:c r="S23" s="3"/>
      <x:c r="T23" s="3"/>
      <x:c r="U23" s="3"/>
      <x:c r="V23" s="3"/>
      <x:c r="W23" s="3"/>
    </x:row>
    <x:row r="24" ht="19" customHeight="1">
      <x:c r="A24" s="2"/>
      <x:c r="B24" s="2"/>
      <x:c r="C24" s="2" t="s">
        <x:v>218</x:v>
      </x:c>
      <x:c r="D24" s="13">
        <x:v>19</x:v>
      </x:c>
      <x:c r="E24" s="13">
        <x:v>48</x:v>
      </x:c>
      <x:c r="F24" s="13">
        <x:v>39</x:v>
      </x:c>
      <x:c r="G24" s="13">
        <x:v>50</x:v>
      </x:c>
      <x:c r="H24" s="13">
        <x:v>19</x:v>
      </x:c>
      <x:c r="I24" s="13">
        <x:v>38</x:v>
      </x:c>
      <x:c r="J24" s="13">
        <x:v>18</x:v>
      </x:c>
      <x:c r="K24" s="3"/>
      <x:c r="L24" s="3"/>
      <x:c r="M24" s="3"/>
      <x:c r="N24" s="3"/>
      <x:c r="O24" s="3"/>
      <x:c r="P24" s="3"/>
      <x:c r="Q24" s="3"/>
      <x:c r="R24" s="3"/>
      <x:c r="S24" s="3"/>
      <x:c r="T24" s="3"/>
      <x:c r="U24" s="3"/>
      <x:c r="V24" s="3"/>
      <x:c r="W24" s="3"/>
    </x:row>
    <x:row r="25" ht="19" customHeight="1">
      <x:c r="A25" s="2"/>
      <x:c r="B25" s="2"/>
      <x:c r="C25" s="2" t="s">
        <x:v>219</x:v>
      </x:c>
      <x:c r="D25" s="13">
        <x:v>2</x:v>
      </x:c>
      <x:c r="E25" s="13">
        <x:v>5</x:v>
      </x:c>
      <x:c r="F25" s="13">
        <x:v>1</x:v>
      </x:c>
      <x:c r="G25" s="13">
        <x:v>2</x:v>
      </x:c>
      <x:c r="H25" s="13">
        <x:v>1</x:v>
      </x:c>
      <x:c r="I25" s="13">
        <x:v>2</x:v>
      </x:c>
      <x:c r="J25" s="13">
        <x:v>1</x:v>
      </x:c>
      <x:c r="K25" s="3"/>
      <x:c r="L25" s="3"/>
      <x:c r="M25" s="3"/>
      <x:c r="N25" s="3"/>
      <x:c r="O25" s="3"/>
      <x:c r="P25" s="3"/>
      <x:c r="Q25" s="3"/>
      <x:c r="R25" s="3"/>
      <x:c r="S25" s="3"/>
      <x:c r="T25" s="3"/>
      <x:c r="U25" s="3"/>
      <x:c r="V25" s="3"/>
      <x:c r="W25" s="3"/>
    </x:row>
    <x:row r="26" ht="19" customHeight="1">
      <x:c r="A26" s="2"/>
      <x:c r="B26" s="2"/>
      <x:c r="C26" s="2" t="s">
        <x:v>149</x:v>
      </x:c>
      <x:c r="D26" s="13">
        <x:v>27</x:v>
      </x:c>
      <x:c r="E26" s="13">
        <x:v>58</x:v>
      </x:c>
      <x:c r="F26" s="13">
        <x:v>33</x:v>
      </x:c>
      <x:c r="G26" s="13">
        <x:v>67</x:v>
      </x:c>
      <x:c r="H26" s="13">
        <x:v>35</x:v>
      </x:c>
      <x:c r="I26" s="13">
        <x:v>73</x:v>
      </x:c>
      <x:c r="J26" s="13">
        <x:v>39</x:v>
      </x:c>
      <x:c r="K26" s="3"/>
      <x:c r="L26" s="3"/>
      <x:c r="M26" s="3"/>
      <x:c r="N26" s="3"/>
      <x:c r="O26" s="3"/>
      <x:c r="P26" s="3"/>
      <x:c r="Q26" s="3"/>
      <x:c r="R26" s="3"/>
      <x:c r="S26" s="3"/>
      <x:c r="T26" s="3"/>
      <x:c r="U26" s="3"/>
      <x:c r="V26" s="3"/>
      <x:c r="W26" s="3"/>
    </x:row>
    <x:row r="27" ht="19" customHeight="1">
      <x:c r="A27" s="2"/>
      <x:c r="B27" s="2"/>
      <x:c r="C27" s="2" t="s">
        <x:v>144</x:v>
      </x:c>
      <x:c r="D27" s="13">
        <x:v>118</x:v>
      </x:c>
      <x:c r="E27" s="13">
        <x:v>239</x:v>
      </x:c>
      <x:c r="F27" s="13">
        <x:v>134</x:v>
      </x:c>
      <x:c r="G27" s="13">
        <x:v>264</x:v>
      </x:c>
      <x:c r="H27" s="13">
        <x:v>141</x:v>
      </x:c>
      <x:c r="I27" s="13">
        <x:v>274</x:v>
      </x:c>
      <x:c r="J27" s="13">
        <x:v>143</x:v>
      </x:c>
      <x:c r="K27" s="3"/>
      <x:c r="L27" s="3"/>
      <x:c r="M27" s="3"/>
      <x:c r="N27" s="3"/>
      <x:c r="O27" s="3"/>
      <x:c r="P27" s="3"/>
      <x:c r="Q27" s="3"/>
      <x:c r="R27" s="3"/>
      <x:c r="S27" s="3"/>
      <x:c r="T27" s="3"/>
      <x:c r="U27" s="3"/>
      <x:c r="V27" s="3"/>
      <x:c r="W27" s="3"/>
    </x:row>
    <x:row r="28" ht="19" customHeight="1">
      <x:c r="A28" s="2"/>
      <x:c r="B28" s="2"/>
      <x:c r="C28" s="2" t="s">
        <x:v>220</x:v>
      </x:c>
      <x:c r="D28" s="13">
        <x:v>215</x:v>
      </x:c>
      <x:c r="E28" s="13">
        <x:v>439</x:v>
      </x:c>
      <x:c r="F28" s="13">
        <x:v>251</x:v>
      </x:c>
      <x:c r="G28" s="13">
        <x:v>490</x:v>
      </x:c>
      <x:c r="H28" s="13">
        <x:v>239</x:v>
      </x:c>
      <x:c r="I28" s="13">
        <x:v>481</x:v>
      </x:c>
      <x:c r="J28" s="13">
        <x:v>282</x:v>
      </x:c>
      <x:c r="K28" s="3"/>
      <x:c r="L28" s="3"/>
      <x:c r="M28" s="3"/>
      <x:c r="N28" s="3"/>
      <x:c r="O28" s="3"/>
      <x:c r="P28" s="3"/>
      <x:c r="Q28" s="3"/>
      <x:c r="R28" s="3"/>
      <x:c r="S28" s="3"/>
      <x:c r="T28" s="3"/>
      <x:c r="U28" s="3"/>
      <x:c r="V28" s="3"/>
      <x:c r="W28" s="3"/>
    </x:row>
    <x:row r="29" ht="19" customHeight="1">
      <x:c r="A29" s="2"/>
      <x:c r="B29" s="2"/>
      <x:c r="C29" s="2" t="s">
        <x:v>221</x:v>
      </x:c>
      <x:c r="D29" s="13">
        <x:v>42</x:v>
      </x:c>
      <x:c r="E29" s="13">
        <x:v>156</x:v>
      </x:c>
      <x:c r="F29" s="13">
        <x:v>107</x:v>
      </x:c>
      <x:c r="G29" s="13">
        <x:v>194</x:v>
      </x:c>
      <x:c r="H29" s="13">
        <x:v>63</x:v>
      </x:c>
      <x:c r="I29" s="13">
        <x:v>194</x:v>
      </x:c>
      <x:c r="J29" s="13">
        <x:v>109</x:v>
      </x:c>
      <x:c r="K29" s="3"/>
      <x:c r="L29" s="3"/>
      <x:c r="M29" s="3"/>
      <x:c r="N29" s="3"/>
      <x:c r="O29" s="3"/>
      <x:c r="P29" s="3"/>
      <x:c r="Q29" s="3"/>
      <x:c r="R29" s="3"/>
      <x:c r="S29" s="3"/>
      <x:c r="T29" s="3"/>
      <x:c r="U29" s="3"/>
      <x:c r="V29" s="3"/>
      <x:c r="W29" s="3"/>
    </x:row>
    <x:row r="30" ht="19" customHeight="1">
      <x:c r="A30" s="2"/>
      <x:c r="B30" s="2"/>
      <x:c r="C30" s="2" t="s">
        <x:v>222</x:v>
      </x:c>
      <x:c r="D30" s="13">
        <x:v>86</x:v>
      </x:c>
      <x:c r="E30" s="13">
        <x:v>179</x:v>
      </x:c>
      <x:c r="F30" s="13">
        <x:v>93</x:v>
      </x:c>
      <x:c r="G30" s="13">
        <x:v>199</x:v>
      </x:c>
      <x:c r="H30" s="13">
        <x:v>110</x:v>
      </x:c>
      <x:c r="I30" s="13">
        <x:v>215</x:v>
      </x:c>
      <x:c r="J30" s="13">
        <x:v>113</x:v>
      </x:c>
      <x:c r="K30" s="3"/>
      <x:c r="L30" s="3"/>
      <x:c r="M30" s="3"/>
      <x:c r="N30" s="3"/>
      <x:c r="O30" s="3"/>
      <x:c r="P30" s="3"/>
      <x:c r="Q30" s="3"/>
      <x:c r="R30" s="3"/>
      <x:c r="S30" s="3"/>
      <x:c r="T30" s="3"/>
      <x:c r="U30" s="3"/>
      <x:c r="V30" s="3"/>
      <x:c r="W30" s="3"/>
    </x:row>
    <x:row r="31" ht="19" customHeight="1">
      <x:c r="A31" s="2"/>
      <x:c r="B31" s="2"/>
      <x:c r="C31" s="2" t="s">
        <x:v>223</x:v>
      </x:c>
      <x:c r="D31" s="13">
        <x:v>0</x:v>
      </x:c>
      <x:c r="E31" s="13">
        <x:v>2</x:v>
      </x:c>
      <x:c r="F31" s="13">
        <x:v>3</x:v>
      </x:c>
      <x:c r="G31" s="13">
        <x:v>10</x:v>
      </x:c>
      <x:c r="H31" s="13">
        <x:v>2</x:v>
      </x:c>
      <x:c r="I31" s="13">
        <x:v>7</x:v>
      </x:c>
      <x:c r="J31" s="13">
        <x:v>3</x:v>
      </x:c>
      <x:c r="K31" s="3"/>
      <x:c r="L31" s="3"/>
      <x:c r="M31" s="3"/>
      <x:c r="N31" s="3"/>
      <x:c r="O31" s="3"/>
      <x:c r="P31" s="3"/>
      <x:c r="Q31" s="3"/>
      <x:c r="R31" s="3"/>
      <x:c r="S31" s="3"/>
      <x:c r="T31" s="3"/>
      <x:c r="U31" s="3"/>
      <x:c r="V31" s="3"/>
      <x:c r="W31" s="3"/>
    </x:row>
    <x:row r="32" ht="19" customHeight="1">
      <x:c r="A32" s="2"/>
      <x:c r="B32" s="2"/>
      <x:c r="C32" s="2" t="s">
        <x:v>224</x:v>
      </x:c>
      <x:c r="D32" s="13">
        <x:v>1</x:v>
      </x:c>
      <x:c r="E32" s="13">
        <x:v>9</x:v>
      </x:c>
      <x:c r="F32" s="13">
        <x:v>8</x:v>
      </x:c>
      <x:c r="G32" s="13">
        <x:v>8</x:v>
      </x:c>
      <x:c r="H32" s="13">
        <x:v>1</x:v>
      </x:c>
      <x:c r="I32" s="13">
        <x:v>7</x:v>
      </x:c>
      <x:c r="J32" s="13">
        <x:v>4</x:v>
      </x:c>
      <x:c r="K32" s="3"/>
      <x:c r="L32" s="3"/>
      <x:c r="M32" s="3"/>
      <x:c r="N32" s="3"/>
      <x:c r="O32" s="3"/>
      <x:c r="P32" s="3"/>
      <x:c r="Q32" s="3"/>
      <x:c r="R32" s="3"/>
      <x:c r="S32" s="3"/>
      <x:c r="T32" s="3"/>
      <x:c r="U32" s="3"/>
      <x:c r="V32" s="3"/>
      <x:c r="W32" s="3"/>
    </x:row>
    <x:row r="33" ht="19" customHeight="1">
      <x:c r="A33" s="2"/>
      <x:c r="B33" s="2"/>
      <x:c r="C33" s="2" t="s">
        <x:v>225</x:v>
      </x:c>
      <x:c r="D33" s="13">
        <x:v>5</x:v>
      </x:c>
      <x:c r="E33" s="13">
        <x:v>12</x:v>
      </x:c>
      <x:c r="F33" s="13">
        <x:v>7</x:v>
      </x:c>
      <x:c r="G33" s="13">
        <x:v>15</x:v>
      </x:c>
      <x:c r="H33" s="13">
        <x:v>7</x:v>
      </x:c>
      <x:c r="I33" s="13">
        <x:v>11</x:v>
      </x:c>
      <x:c r="J33" s="13">
        <x:v>5</x:v>
      </x:c>
      <x:c r="K33" s="3"/>
      <x:c r="L33" s="3"/>
      <x:c r="M33" s="3"/>
      <x:c r="N33" s="3"/>
      <x:c r="O33" s="3"/>
      <x:c r="P33" s="3"/>
      <x:c r="Q33" s="3"/>
      <x:c r="R33" s="3"/>
      <x:c r="S33" s="3"/>
      <x:c r="T33" s="3"/>
      <x:c r="U33" s="3"/>
      <x:c r="V33" s="3"/>
      <x:c r="W33" s="3"/>
    </x:row>
    <x:row r="34" ht="19" customHeight="1">
      <x:c r="A34" s="2"/>
      <x:c r="B34" s="2"/>
      <x:c r="C34" s="2" t="s">
        <x:v>158</x:v>
      </x:c>
      <x:c r="D34" s="13">
        <x:v>0</x:v>
      </x:c>
      <x:c r="E34" s="13">
        <x:v>1</x:v>
      </x:c>
      <x:c r="F34" s="13">
        <x:v>1</x:v>
      </x:c>
      <x:c r="G34" s="13">
        <x:v>2</x:v>
      </x:c>
      <x:c r="H34" s="13">
        <x:v>1</x:v>
      </x:c>
      <x:c r="I34" s="13">
        <x:v>2</x:v>
      </x:c>
      <x:c r="J34" s="13">
        <x:v>1</x:v>
      </x:c>
      <x:c r="K34" s="3"/>
      <x:c r="L34" s="3"/>
      <x:c r="M34" s="3"/>
      <x:c r="N34" s="3"/>
      <x:c r="O34" s="3"/>
      <x:c r="P34" s="3"/>
      <x:c r="Q34" s="3"/>
      <x:c r="R34" s="3"/>
      <x:c r="S34" s="3"/>
      <x:c r="T34" s="3"/>
      <x:c r="U34" s="3"/>
      <x:c r="V34" s="3"/>
      <x:c r="W34" s="3"/>
    </x:row>
    <x:row r="35" ht="19" customHeight="1">
      <x:c r="A35" s="2"/>
      <x:c r="B35" s="2"/>
      <x:c r="C35" s="2" t="s">
        <x:v>159</x:v>
      </x:c>
      <x:c r="D35" s="13">
        <x:v>0</x:v>
      </x:c>
      <x:c r="E35" s="13">
        <x:v>0</x:v>
      </x:c>
      <x:c r="F35" s="13">
        <x:v>1</x:v>
      </x:c>
      <x:c r="G35" s="13">
        <x:v>1</x:v>
      </x:c>
      <x:c r="H35" s="13">
        <x:v>0</x:v>
      </x:c>
      <x:c r="I35" s="13">
        <x:v>1</x:v>
      </x:c>
      <x:c r="J35" s="13">
        <x:v>0</x:v>
      </x:c>
      <x:c r="K35" s="3"/>
      <x:c r="L35" s="3"/>
      <x:c r="M35" s="3"/>
      <x:c r="N35" s="3"/>
      <x:c r="O35" s="3"/>
      <x:c r="P35" s="3"/>
      <x:c r="Q35" s="3"/>
      <x:c r="R35" s="3"/>
      <x:c r="S35" s="3"/>
      <x:c r="T35" s="3"/>
      <x:c r="U35" s="3"/>
      <x:c r="V35" s="3"/>
      <x:c r="W35" s="3"/>
    </x:row>
    <x:row r="36" ht="19" customHeight="1">
      <x:c r="A36" s="2"/>
      <x:c r="B36" s="2"/>
      <x:c r="C36" s="2" t="s">
        <x:v>226</x:v>
      </x:c>
      <x:c r="D36" s="13">
        <x:v>133</x:v>
      </x:c>
      <x:c r="E36" s="13">
        <x:v>280</x:v>
      </x:c>
      <x:c r="F36" s="13">
        <x:v>163</x:v>
      </x:c>
      <x:c r="G36" s="13">
        <x:v>323</x:v>
      </x:c>
      <x:c r="H36" s="13">
        <x:v>130</x:v>
      </x:c>
      <x:c r="I36" s="13">
        <x:v>294</x:v>
      </x:c>
      <x:c r="J36" s="13">
        <x:v>186</x:v>
      </x:c>
      <x:c r="K36" s="3"/>
      <x:c r="L36" s="3"/>
      <x:c r="M36" s="3"/>
      <x:c r="N36" s="3"/>
      <x:c r="O36" s="3"/>
      <x:c r="P36" s="3"/>
      <x:c r="Q36" s="3"/>
      <x:c r="R36" s="3"/>
      <x:c r="S36" s="3"/>
      <x:c r="T36" s="3"/>
      <x:c r="U36" s="3"/>
      <x:c r="V36" s="3"/>
      <x:c r="W36" s="3"/>
    </x:row>
    <x:row r="37" ht="19" customHeight="1">
      <x:c r="A37" s="2"/>
      <x:c r="B37" s="2"/>
      <x:c r="C37" s="2" t="s">
        <x:v>227</x:v>
      </x:c>
      <x:c r="D37" s="13">
        <x:v>4</x:v>
      </x:c>
      <x:c r="E37" s="13">
        <x:v>60</x:v>
      </x:c>
      <x:c r="F37" s="13">
        <x:v>94</x:v>
      </x:c>
      <x:c r="G37" s="13">
        <x:v>150</x:v>
      </x:c>
      <x:c r="H37" s="13">
        <x:v>16</x:v>
      </x:c>
      <x:c r="I37" s="13">
        <x:v>113</x:v>
      </x:c>
      <x:c r="J37" s="13">
        <x:v>111</x:v>
      </x:c>
      <x:c r="K37" s="3"/>
      <x:c r="L37" s="3"/>
      <x:c r="M37" s="3"/>
      <x:c r="N37" s="3"/>
      <x:c r="O37" s="3"/>
      <x:c r="P37" s="3"/>
      <x:c r="Q37" s="3"/>
      <x:c r="R37" s="3"/>
      <x:c r="S37" s="3"/>
      <x:c r="T37" s="3"/>
      <x:c r="U37" s="3"/>
      <x:c r="V37" s="3"/>
      <x:c r="W37" s="3"/>
    </x:row>
    <x:row r="38" ht="19" customHeight="1">
      <x:c r="A38" s="2"/>
      <x:c r="B38" s="2"/>
      <x:c r="C38" s="2" t="s">
        <x:v>228</x:v>
      </x:c>
      <x:c r="D38" s="13">
        <x:v>137</x:v>
      </x:c>
      <x:c r="E38" s="13">
        <x:v>340</x:v>
      </x:c>
      <x:c r="F38" s="13">
        <x:v>257</x:v>
      </x:c>
      <x:c r="G38" s="13">
        <x:v>473</x:v>
      </x:c>
      <x:c r="H38" s="13">
        <x:v>146</x:v>
      </x:c>
      <x:c r="I38" s="13">
        <x:v>407</x:v>
      </x:c>
      <x:c r="J38" s="13">
        <x:v>297</x:v>
      </x:c>
      <x:c r="K38" s="3"/>
      <x:c r="L38" s="3"/>
      <x:c r="M38" s="3"/>
      <x:c r="N38" s="3"/>
      <x:c r="O38" s="3"/>
      <x:c r="P38" s="3"/>
      <x:c r="Q38" s="3"/>
      <x:c r="R38" s="3"/>
      <x:c r="S38" s="3"/>
      <x:c r="T38" s="3"/>
      <x:c r="U38" s="3"/>
      <x:c r="V38" s="3"/>
      <x:c r="W38" s="3"/>
    </x:row>
    <x:row r="39" ht="19" customHeight="1">
      <x:c r="A39" s="2"/>
      <x:c r="B39" s="2"/>
      <x:c r="C39" s="2" t="s">
        <x:v>163</x:v>
      </x:c>
      <x:c r="D39" s="13">
        <x:v>29</x:v>
      </x:c>
      <x:c r="E39" s="13">
        <x:v>69</x:v>
      </x:c>
      <x:c r="F39" s="13">
        <x:v>53</x:v>
      </x:c>
      <x:c r="G39" s="13">
        <x:v>92</x:v>
      </x:c>
      <x:c r="H39" s="13">
        <x:v>33</x:v>
      </x:c>
      <x:c r="I39" s="13">
        <x:v>86</x:v>
      </x:c>
      <x:c r="J39" s="13">
        <x:v>67</x:v>
      </x:c>
      <x:c r="K39" s="3"/>
      <x:c r="L39" s="3"/>
      <x:c r="M39" s="3"/>
      <x:c r="N39" s="3"/>
      <x:c r="O39" s="3"/>
      <x:c r="P39" s="3"/>
      <x:c r="Q39" s="3"/>
      <x:c r="R39" s="3"/>
      <x:c r="S39" s="3"/>
      <x:c r="T39" s="3"/>
      <x:c r="U39" s="3"/>
      <x:c r="V39" s="3"/>
      <x:c r="W39" s="3"/>
    </x:row>
    <x:row r="40" ht="19" customHeight="1">
      <x:c r="A40" s="2"/>
      <x:c r="B40" s="2"/>
      <x:c r="C40" s="2" t="s">
        <x:v>164</x:v>
      </x:c>
      <x:c r="D40" s="13">
        <x:v>108</x:v>
      </x:c>
      <x:c r="E40" s="13">
        <x:v>271</x:v>
      </x:c>
      <x:c r="F40" s="13">
        <x:v>204</x:v>
      </x:c>
      <x:c r="G40" s="13">
        <x:v>381</x:v>
      </x:c>
      <x:c r="H40" s="13">
        <x:v>113</x:v>
      </x:c>
      <x:c r="I40" s="13">
        <x:v>321</x:v>
      </x:c>
      <x:c r="J40" s="13">
        <x:v>230</x:v>
      </x:c>
      <x:c r="K40" s="3"/>
      <x:c r="L40" s="3"/>
      <x:c r="M40" s="3"/>
      <x:c r="N40" s="3"/>
      <x:c r="O40" s="3"/>
      <x:c r="P40" s="3"/>
      <x:c r="Q40" s="3"/>
      <x:c r="R40" s="3"/>
      <x:c r="S40" s="3"/>
      <x:c r="T40" s="3"/>
      <x:c r="U40" s="3"/>
      <x:c r="V40" s="3"/>
      <x:c r="W40" s="3"/>
    </x:row>
    <x:row r="41" ht="19" customHeight="1">
      <x:c r="A41" s="2"/>
      <x:c r="B41" s="2"/>
      <x:c r="C41" s="2" t="s">
        <x:v>165</x:v>
      </x:c>
      <x:c r="D41" s="14">
        <x:v>1217</x:v>
      </x:c>
      <x:c r="E41" s="14">
        <x:v>1207.0554420000001</x:v>
      </x:c>
      <x:c r="F41" s="14">
        <x:v>1192</x:v>
      </x:c>
      <x:c r="G41" s="14">
        <x:v>1189.0758450000001</x:v>
      </x:c>
      <x:c r="H41" s="14">
        <x:v>1168</x:v>
      </x:c>
      <x:c r="I41" s="14">
        <x:v>1164.8773679999999</x:v>
      </x:c>
      <x:c r="J41" s="14">
        <x:v>1153</x:v>
      </x:c>
      <x:c r="K41" s="3"/>
      <x:c r="L41" s="3"/>
      <x:c r="M41" s="3"/>
      <x:c r="N41" s="3"/>
      <x:c r="O41" s="3"/>
      <x:c r="P41" s="3"/>
      <x:c r="Q41" s="3"/>
      <x:c r="R41" s="3"/>
      <x:c r="S41" s="3"/>
      <x:c r="T41" s="3"/>
      <x:c r="U41" s="3"/>
      <x:c r="V41" s="3"/>
      <x:c r="W41" s="3"/>
    </x:row>
    <x:row r="42" ht="19" customHeight="1">
      <x:c r="A42" s="2"/>
      <x:c r="B42" s="2"/>
      <x:c r="C42" s="2" t="s">
        <x:v>229</x:v>
      </x:c>
      <x:c r="D42" s="15">
        <x:v>8.9</x:v>
      </x:c>
      <x:c r="E42" s="15">
        <x:v>22.4</x:v>
      </x:c>
      <x:c r="F42" s="15">
        <x:v>17.100000000000001</x:v>
      </x:c>
      <x:c r="G42" s="15">
        <x:v>32.1</x:v>
      </x:c>
      <x:c r="H42" s="15">
        <x:v>9.6999999999999993</x:v>
      </x:c>
      <x:c r="I42" s="15">
        <x:v>27.6</x:v>
      </x:c>
      <x:c r="J42" s="15">
        <x:v>19.899999999999999</x:v>
      </x:c>
      <x:c r="K42" s="3"/>
      <x:c r="L42" s="3"/>
      <x:c r="M42" s="3"/>
      <x:c r="N42" s="3"/>
      <x:c r="O42" s="3"/>
      <x:c r="P42" s="3"/>
      <x:c r="Q42" s="3"/>
      <x:c r="R42" s="3"/>
      <x:c r="S42" s="3"/>
      <x:c r="T42" s="3"/>
      <x:c r="U42" s="3"/>
      <x:c r="V42" s="3"/>
      <x:c r="W42" s="3"/>
    </x:row>
    <x:row r="43" ht="19" customHeight="1">
      <x:c r="A43" s="2"/>
      <x:c r="B43" s="2"/>
      <x:c r="C43" s="2" t="s">
        <x:v>230</x:v>
      </x:c>
      <x:c r="D43" s="13">
        <x:v>83</x:v>
      </x:c>
      <x:c r="E43" s="13">
        <x:v>234</x:v>
      </x:c>
      <x:c r="F43" s="13">
        <x:v>164</x:v>
      </x:c>
      <x:c r="G43" s="13">
        <x:v>298</x:v>
      </x:c>
      <x:c r="H43" s="13">
        <x:v>51</x:v>
      </x:c>
      <x:c r="I43" s="13">
        <x:v>175</x:v>
      </x:c>
      <x:c r="J43" s="13">
        <x:v>201</x:v>
      </x:c>
      <x:c r="K43" s="3"/>
      <x:c r="L43" s="3"/>
      <x:c r="M43" s="3"/>
      <x:c r="N43" s="3"/>
      <x:c r="O43" s="3"/>
      <x:c r="P43" s="3"/>
      <x:c r="Q43" s="3"/>
      <x:c r="R43" s="3"/>
      <x:c r="S43" s="3"/>
      <x:c r="T43" s="3"/>
      <x:c r="U43" s="3"/>
      <x:c r="V43" s="3"/>
      <x:c r="W43" s="3"/>
    </x:row>
    <x:row r="44" ht="19" customHeight="1">
      <x:c r="A44" s="2"/>
      <x:c r="B44" s="2"/>
      <x:c r="C44" s="2" t="s">
        <x:v>231</x:v>
      </x:c>
      <x:c r="D44" s="13">
        <x:v>6.8</x:v>
      </x:c>
      <x:c r="E44" s="13">
        <x:v>19.399999999999999</x:v>
      </x:c>
      <x:c r="F44" s="13">
        <x:v>13.8</x:v>
      </x:c>
      <x:c r="G44" s="13">
        <x:v>25.1</x:v>
      </x:c>
      <x:c r="H44" s="13">
        <x:v>4.4000000000000004</x:v>
      </x:c>
      <x:c r="I44" s="13">
        <x:v>15</x:v>
      </x:c>
      <x:c r="J44" s="13">
        <x:v>17.5</x:v>
      </x:c>
      <x:c r="K44" s="3"/>
      <x:c r="L44" s="3"/>
      <x:c r="M44" s="3"/>
      <x:c r="N44" s="3"/>
      <x:c r="O44" s="3"/>
      <x:c r="P44" s="3"/>
      <x:c r="Q44" s="3"/>
      <x:c r="R44" s="3"/>
      <x:c r="S44" s="3"/>
      <x:c r="T44" s="3"/>
      <x:c r="U44" s="3"/>
      <x:c r="V44" s="3"/>
      <x:c r="W44" s="3"/>
    </x:row>
    <x:row r="45" ht="19" customHeight="1">
      <x:c r="A45" s="2"/>
      <x:c r="B45" s="2"/>
      <x:c r="C45" s="2" t="s">
        <x:v>232</x:v>
      </x:c>
      <x:c r="D45" s="62" t="s">
        <x:v>126</x:v>
      </x:c>
      <x:c r="E45" s="62">
        <x:v>63</x:v>
      </x:c>
      <x:c r="F45" s="62" t="s">
        <x:v>126</x:v>
      </x:c>
      <x:c r="G45" s="62">
        <x:v>63</x:v>
      </x:c>
      <x:c r="H45" s="62" t="s">
        <x:v>126</x:v>
      </x:c>
      <x:c r="I45" s="62">
        <x:v>56</x:v>
      </x:c>
      <x:c r="J45" s="62">
        <x:v>52</x:v>
      </x:c>
      <x:c r="K45" s="3"/>
      <x:c r="L45" s="3"/>
      <x:c r="M45" s="3"/>
      <x:c r="N45" s="3"/>
      <x:c r="O45" s="3"/>
      <x:c r="P45" s="3"/>
      <x:c r="Q45" s="3"/>
      <x:c r="R45" s="3"/>
      <x:c r="S45" s="3"/>
      <x:c r="T45" s="3"/>
      <x:c r="U45" s="3"/>
      <x:c r="V45" s="3"/>
      <x:c r="W45" s="3"/>
    </x:row>
    <x:row r="46" ht="19" customHeight="1">
      <x:c r="A46" s="2"/>
      <x:c r="B46" s="2"/>
      <x:c r="C46" s="2" t="s">
        <x:v>233</x:v>
      </x:c>
      <x:c r="D46" s="3" t="s">
        <x:v>200</x:v>
      </x:c>
      <x:c r="E46" s="3" t="s">
        <x:v>202</x:v>
      </x:c>
      <x:c r="F46" s="3" t="s">
        <x:v>204</x:v>
      </x:c>
      <x:c r="G46" s="3" t="s">
        <x:v>206</x:v>
      </x:c>
      <x:c r="H46" s="3" t="s">
        <x:v>208</x:v>
      </x:c>
      <x:c r="I46" s="3" t="s">
        <x:v>210</x:v>
      </x:c>
      <x:c r="J46" s="3" t="s">
        <x:v>212</x:v>
      </x:c>
      <x:c r="K46" s="3"/>
      <x:c r="L46" s="3"/>
      <x:c r="M46" s="3"/>
      <x:c r="N46" s="3"/>
      <x:c r="O46" s="3"/>
      <x:c r="P46" s="3"/>
      <x:c r="Q46" s="3"/>
      <x:c r="R46" s="3"/>
      <x:c r="S46" s="3"/>
      <x:c r="T46" s="3"/>
      <x:c r="U46" s="3"/>
      <x:c r="V46" s="3"/>
      <x:c r="W46" s="3"/>
    </x:row>
    <x:row r="47" ht="19" customHeight="1">
      <x:c r="A47" s="2"/>
      <x:c r="B47" s="2"/>
      <x:c r="C47" s="2"/>
      <x:c r="D47" s="3"/>
      <x:c r="E47" s="3"/>
      <x:c r="F47" s="3"/>
      <x:c r="G47" s="3"/>
      <x:c r="H47" s="3"/>
      <x:c r="I47" s="3"/>
      <x:c r="J47" s="3"/>
      <x:c r="K47" s="3"/>
      <x:c r="L47" s="3"/>
      <x:c r="M47" s="3"/>
      <x:c r="N47" s="3"/>
      <x:c r="O47" s="3"/>
      <x:c r="P47" s="3"/>
      <x:c r="Q47" s="3"/>
      <x:c r="R47" s="3"/>
      <x:c r="S47" s="3"/>
      <x:c r="T47" s="3"/>
      <x:c r="U47" s="3"/>
      <x:c r="V47" s="3"/>
      <x:c r="W47" s="3"/>
    </x:row>
    <x:row r="48" ht="19" customHeight="1">
      <x:c r="A48" s="2"/>
      <x:c r="B48" s="2"/>
      <x:c r="C48" s="2"/>
      <x:c r="D48" s="3"/>
      <x:c r="E48" s="3"/>
      <x:c r="F48" s="3"/>
      <x:c r="G48" s="3"/>
      <x:c r="H48" s="3"/>
      <x:c r="I48" s="3"/>
      <x:c r="J48" s="3"/>
      <x:c r="K48" s="3"/>
      <x:c r="L48" s="3"/>
      <x:c r="M48" s="3"/>
      <x:c r="N48" s="3"/>
      <x:c r="O48" s="3"/>
      <x:c r="P48" s="3"/>
      <x:c r="Q48" s="3"/>
      <x:c r="R48" s="3"/>
      <x:c r="S48" s="3"/>
      <x:c r="T48" s="3"/>
      <x:c r="U48" s="3"/>
      <x:c r="V48" s="3"/>
      <x:c r="W48" s="3"/>
    </x:row>
    <x:row r="49" ht="19" customHeight="1">
      <x:c r="A49" s="2"/>
      <x:c r="B49" s="2"/>
      <x:c r="C49" s="11" t="s">
        <x:v>234</x:v>
      </x:c>
      <x:c r="D49" s="12"/>
      <x:c r="E49" s="12"/>
      <x:c r="F49" s="12"/>
      <x:c r="G49" s="12"/>
      <x:c r="H49" s="3"/>
      <x:c r="I49" s="3"/>
      <x:c r="J49" s="3"/>
      <x:c r="K49" s="3"/>
      <x:c r="L49" s="3"/>
      <x:c r="M49" s="3"/>
      <x:c r="N49" s="3"/>
      <x:c r="O49" s="3"/>
      <x:c r="P49" s="3"/>
      <x:c r="Q49" s="3"/>
      <x:c r="R49" s="3"/>
      <x:c r="S49" s="3"/>
      <x:c r="T49" s="3"/>
      <x:c r="U49" s="3"/>
      <x:c r="V49" s="3"/>
      <x:c r="W49" s="3"/>
    </x:row>
    <x:row r="50" ht="19" customHeight="1">
      <x:c r="A50" s="2"/>
      <x:c r="B50" s="2"/>
      <x:c r="C50" s="2"/>
      <x:c r="D50" s="3" t="s">
        <x:v>4</x:v>
      </x:c>
      <x:c r="E50" s="3" t="s">
        <x:v>6</x:v>
      </x:c>
      <x:c r="F50" s="3" t="s">
        <x:v>8</x:v>
      </x:c>
      <x:c r="G50" s="3"/>
      <x:c r="H50" s="3"/>
      <x:c r="I50" s="3"/>
      <x:c r="J50" s="3"/>
      <x:c r="K50" s="3"/>
      <x:c r="L50" s="3"/>
      <x:c r="M50" s="3"/>
      <x:c r="N50" s="3"/>
      <x:c r="O50" s="3"/>
      <x:c r="P50" s="3"/>
      <x:c r="Q50" s="3"/>
      <x:c r="R50" s="3"/>
      <x:c r="S50" s="3"/>
      <x:c r="T50" s="3"/>
      <x:c r="U50" s="3"/>
      <x:c r="V50" s="3"/>
      <x:c r="W50" s="3"/>
    </x:row>
    <x:row r="51" ht="19" customHeight="1">
      <x:c r="A51" s="2"/>
      <x:c r="B51" s="2"/>
      <x:c r="C51" s="2" t="s">
        <x:v>235</x:v>
      </x:c>
      <x:c r="D51" s="13" t="s">
        <x:v>126</x:v>
      </x:c>
      <x:c r="E51" s="13">
        <x:v>-3.8</x:v>
      </x:c>
      <x:c r="F51" s="13">
        <x:v>6.7</x:v>
      </x:c>
      <x:c r="G51" s="3"/>
      <x:c r="H51" s="3"/>
      <x:c r="I51" s="3"/>
      <x:c r="J51" s="3"/>
      <x:c r="K51" s="3"/>
      <x:c r="L51" s="3"/>
      <x:c r="M51" s="3"/>
      <x:c r="N51" s="3"/>
      <x:c r="O51" s="3"/>
      <x:c r="P51" s="3"/>
      <x:c r="Q51" s="3"/>
      <x:c r="R51" s="3"/>
      <x:c r="S51" s="3"/>
      <x:c r="T51" s="3"/>
      <x:c r="U51" s="3"/>
      <x:c r="V51" s="3"/>
      <x:c r="W51" s="3"/>
    </x:row>
    <x:row r="52" ht="19" customHeight="1">
      <x:c r="A52" s="2"/>
      <x:c r="B52" s="2"/>
      <x:c r="C52" s="2" t="s">
        <x:v>236</x:v>
      </x:c>
      <x:c r="D52" s="13" t="s">
        <x:v>126</x:v>
      </x:c>
      <x:c r="E52" s="13">
        <x:v>-2.1</x:v>
      </x:c>
      <x:c r="F52" s="13" t="s">
        <x:v>126</x:v>
      </x:c>
      <x:c r="G52" s="3"/>
      <x:c r="H52" s="3"/>
      <x:c r="I52" s="3"/>
      <x:c r="J52" s="3"/>
      <x:c r="K52" s="3"/>
      <x:c r="L52" s="3"/>
      <x:c r="M52" s="3"/>
      <x:c r="N52" s="3"/>
      <x:c r="O52" s="3"/>
      <x:c r="P52" s="3"/>
      <x:c r="Q52" s="3"/>
      <x:c r="R52" s="3"/>
      <x:c r="S52" s="3"/>
      <x:c r="T52" s="3"/>
      <x:c r="U52" s="3"/>
      <x:c r="V52" s="3"/>
      <x:c r="W52" s="3"/>
    </x:row>
    <x:row r="53" ht="19" customHeight="1">
      <x:c r="A53" s="2"/>
      <x:c r="B53" s="2"/>
      <x:c r="C53" s="2" t="s">
        <x:v>237</x:v>
      </x:c>
      <x:c r="D53" s="13">
        <x:v>3</x:v>
      </x:c>
      <x:c r="E53" s="13">
        <x:v>-3.3</x:v>
      </x:c>
      <x:c r="F53" s="13">
        <x:v>28.7</x:v>
      </x:c>
      <x:c r="G53" s="3"/>
      <x:c r="H53" s="3"/>
      <x:c r="I53" s="3"/>
      <x:c r="J53" s="3"/>
      <x:c r="K53" s="3"/>
      <x:c r="L53" s="3"/>
      <x:c r="M53" s="3"/>
      <x:c r="N53" s="3"/>
      <x:c r="O53" s="3"/>
      <x:c r="P53" s="3"/>
      <x:c r="Q53" s="3"/>
      <x:c r="R53" s="3"/>
      <x:c r="S53" s="3"/>
      <x:c r="T53" s="3"/>
      <x:c r="U53" s="3"/>
      <x:c r="V53" s="3"/>
      <x:c r="W53" s="3"/>
    </x:row>
    <x:row r="54" ht="19" customHeight="1">
      <x:c r="A54" s="2"/>
      <x:c r="B54" s="2"/>
      <x:c r="C54" s="2" t="s">
        <x:v>238</x:v>
      </x:c>
      <x:c r="D54" s="13">
        <x:v>9.6999999999999993</x:v>
      </x:c>
      <x:c r="E54" s="13">
        <x:v>10.9</x:v>
      </x:c>
      <x:c r="F54" s="13">
        <x:v>21.4</x:v>
      </x:c>
      <x:c r="G54" s="3"/>
      <x:c r="H54" s="3"/>
      <x:c r="I54" s="3"/>
      <x:c r="J54" s="3"/>
      <x:c r="K54" s="3"/>
      <x:c r="L54" s="3"/>
      <x:c r="M54" s="3"/>
      <x:c r="N54" s="3"/>
      <x:c r="O54" s="3"/>
      <x:c r="P54" s="3"/>
      <x:c r="Q54" s="3"/>
      <x:c r="R54" s="3"/>
      <x:c r="S54" s="3"/>
      <x:c r="T54" s="3"/>
      <x:c r="U54" s="3"/>
      <x:c r="V54" s="3"/>
      <x:c r="W54" s="3"/>
    </x:row>
    <x:row r="55" ht="19" customHeight="1">
      <x:c r="A55" s="2"/>
      <x:c r="B55" s="2"/>
      <x:c r="C55" s="2" t="s">
        <x:v>239</x:v>
      </x:c>
      <x:c r="D55" s="13">
        <x:v>11.5</x:v>
      </x:c>
      <x:c r="E55" s="13">
        <x:v>-6.5</x:v>
      </x:c>
      <x:c r="F55" s="13">
        <x:v>8.9</x:v>
      </x:c>
      <x:c r="G55" s="3"/>
      <x:c r="H55" s="3"/>
      <x:c r="I55" s="3"/>
      <x:c r="J55" s="3"/>
      <x:c r="K55" s="3"/>
      <x:c r="L55" s="3"/>
      <x:c r="M55" s="3"/>
      <x:c r="N55" s="3"/>
      <x:c r="O55" s="3"/>
      <x:c r="P55" s="3"/>
      <x:c r="Q55" s="3"/>
      <x:c r="R55" s="3"/>
      <x:c r="S55" s="3"/>
      <x:c r="T55" s="3"/>
      <x:c r="U55" s="3"/>
      <x:c r="V55" s="3"/>
      <x:c r="W55" s="3"/>
    </x:row>
    <x:row r="56" ht="19" customHeight="1">
      <x:c r="A56" s="2"/>
      <x:c r="B56" s="2"/>
      <x:c r="C56" s="2" t="s">
        <x:v>233</x:v>
      </x:c>
      <x:c r="D56" s="3" t="s">
        <x:v>202</x:v>
      </x:c>
      <x:c r="E56" s="3" t="s">
        <x:v>206</x:v>
      </x:c>
      <x:c r="F56" s="3" t="s">
        <x:v>210</x:v>
      </x:c>
      <x:c r="G56" s="3"/>
      <x:c r="H56" s="3"/>
      <x:c r="I56" s="3"/>
      <x:c r="J56" s="3"/>
      <x:c r="K56" s="3"/>
      <x:c r="L56" s="3"/>
      <x:c r="M56" s="3"/>
      <x:c r="N56" s="3"/>
      <x:c r="O56" s="3"/>
      <x:c r="P56" s="3"/>
      <x:c r="Q56" s="3"/>
      <x:c r="R56" s="3"/>
      <x:c r="S56" s="3"/>
      <x:c r="T56" s="3"/>
      <x:c r="U56" s="3"/>
      <x:c r="V56" s="3"/>
      <x:c r="W56" s="3"/>
    </x:row>
    <x:row r="57" ht="19" customHeight="1">
      <x:c r="A57" s="2"/>
      <x:c r="B57" s="2"/>
      <x:c r="C57" s="2"/>
      <x:c r="D57" s="3"/>
      <x:c r="E57" s="3"/>
      <x:c r="F57" s="3"/>
      <x:c r="G57" s="3"/>
      <x:c r="H57" s="3"/>
      <x:c r="I57" s="3"/>
      <x:c r="J57" s="3"/>
      <x:c r="K57" s="3"/>
      <x:c r="L57" s="3"/>
      <x:c r="M57" s="3"/>
      <x:c r="N57" s="3"/>
      <x:c r="O57" s="3"/>
      <x:c r="P57" s="3"/>
      <x:c r="Q57" s="3"/>
      <x:c r="R57" s="3"/>
      <x:c r="S57" s="3"/>
      <x:c r="T57" s="3"/>
      <x:c r="U57" s="3"/>
      <x:c r="V57" s="3"/>
      <x:c r="W57" s="3"/>
    </x:row>
    <x:row r="58" ht="19" customHeight="1">
      <x:c r="A58" s="2"/>
      <x:c r="B58" s="2"/>
      <x:c r="C58" s="2"/>
      <x:c r="D58" s="3"/>
      <x:c r="E58" s="3"/>
      <x:c r="F58" s="3"/>
      <x:c r="G58" s="3"/>
      <x:c r="H58" s="3"/>
      <x:c r="I58" s="3"/>
      <x:c r="J58" s="3"/>
      <x:c r="K58" s="3"/>
      <x:c r="L58" s="3"/>
      <x:c r="M58" s="3"/>
      <x:c r="N58" s="3"/>
      <x:c r="O58" s="3"/>
      <x:c r="P58" s="3"/>
      <x:c r="Q58" s="3"/>
      <x:c r="R58" s="3"/>
      <x:c r="S58" s="3"/>
      <x:c r="T58" s="3"/>
      <x:c r="U58" s="3"/>
      <x:c r="V58" s="3"/>
      <x:c r="W58" s="3"/>
    </x:row>
    <x:row r="59" ht="19" customHeight="1">
      <x:c r="A59" s="2"/>
      <x:c r="B59" s="2"/>
      <x:c r="C59" s="11" t="s">
        <x:v>240</x:v>
      </x:c>
      <x:c r="D59" s="12"/>
      <x:c r="E59" s="12"/>
      <x:c r="F59" s="12"/>
      <x:c r="G59" s="12"/>
      <x:c r="H59" s="12"/>
      <x:c r="I59" s="3"/>
      <x:c r="J59" s="3"/>
      <x:c r="K59" s="3"/>
      <x:c r="L59" s="3"/>
      <x:c r="M59" s="3"/>
      <x:c r="N59" s="3"/>
      <x:c r="O59" s="3"/>
      <x:c r="P59" s="3"/>
      <x:c r="Q59" s="3"/>
      <x:c r="R59" s="3"/>
      <x:c r="S59" s="3"/>
      <x:c r="T59" s="3"/>
      <x:c r="U59" s="3"/>
      <x:c r="V59" s="3"/>
      <x:c r="W59" s="3"/>
    </x:row>
    <x:row r="60" ht="19" customHeight="1">
      <x:c r="A60" s="2"/>
      <x:c r="B60" s="2"/>
      <x:c r="C60" s="2" t="s">
        <x:v>45</x:v>
      </x:c>
      <x:c r="D60" s="3" t="s">
        <x:v>241</x:v>
      </x:c>
      <x:c r="E60" s="3" t="s">
        <x:v>242</x:v>
      </x:c>
      <x:c r="F60" s="3" t="s">
        <x:v>243</x:v>
      </x:c>
      <x:c r="G60" s="3"/>
      <x:c r="H60" s="3" t="s">
        <x:v>244</x:v>
      </x:c>
      <x:c r="I60" s="3"/>
      <x:c r="J60" s="3"/>
      <x:c r="K60" s="3"/>
      <x:c r="L60" s="3"/>
      <x:c r="M60" s="3"/>
      <x:c r="N60" s="3"/>
      <x:c r="O60" s="3"/>
      <x:c r="P60" s="3"/>
      <x:c r="Q60" s="3"/>
      <x:c r="R60" s="3"/>
      <x:c r="S60" s="3"/>
      <x:c r="T60" s="3"/>
      <x:c r="U60" s="3"/>
      <x:c r="V60" s="3"/>
      <x:c r="W60" s="3"/>
    </x:row>
    <x:row r="61" ht="19" customHeight="1">
      <x:c r="A61" s="2"/>
      <x:c r="B61" s="2"/>
      <x:c r="C61" s="2" t="s">
        <x:v>49</x:v>
      </x:c>
      <x:c r="D61" s="13">
        <x:v>42.5</x:v>
      </x:c>
      <x:c r="E61" s="13">
        <x:v>426</x:v>
      </x:c>
      <x:c r="F61" s="13">
        <x:v>105</x:v>
      </x:c>
      <x:c r="G61" s="3"/>
      <x:c r="H61" s="3"/>
      <x:c r="I61" s="3"/>
      <x:c r="J61" s="3"/>
      <x:c r="K61" s="3"/>
      <x:c r="L61" s="3"/>
      <x:c r="M61" s="3"/>
      <x:c r="N61" s="3"/>
      <x:c r="O61" s="3"/>
      <x:c r="P61" s="3"/>
      <x:c r="Q61" s="3"/>
      <x:c r="R61" s="3"/>
      <x:c r="S61" s="3"/>
      <x:c r="T61" s="3"/>
      <x:c r="U61" s="3"/>
      <x:c r="V61" s="3"/>
      <x:c r="W61" s="3"/>
    </x:row>
    <x:row r="62" ht="19" customHeight="1">
      <x:c r="A62" s="2"/>
      <x:c r="B62" s="2"/>
      <x:c r="C62" s="2" t="s">
        <x:v>50</x:v>
      </x:c>
      <x:c r="D62" s="13">
        <x:v>46.6</x:v>
      </x:c>
      <x:c r="E62" s="13">
        <x:v>269</x:v>
      </x:c>
      <x:c r="F62" s="13">
        <x:v>63</x:v>
      </x:c>
      <x:c r="G62" s="3"/>
      <x:c r="H62" s="3"/>
      <x:c r="I62" s="3"/>
      <x:c r="J62" s="3"/>
      <x:c r="K62" s="3"/>
      <x:c r="L62" s="3"/>
      <x:c r="M62" s="3"/>
      <x:c r="N62" s="3"/>
      <x:c r="O62" s="3"/>
      <x:c r="P62" s="3"/>
      <x:c r="Q62" s="3"/>
      <x:c r="R62" s="3"/>
      <x:c r="S62" s="3"/>
      <x:c r="T62" s="3"/>
      <x:c r="U62" s="3"/>
      <x:c r="V62" s="3"/>
      <x:c r="W62" s="3"/>
    </x:row>
    <x:row r="63" ht="19" customHeight="1">
      <x:c r="A63" s="2"/>
      <x:c r="B63" s="2"/>
      <x:c r="C63" s="2" t="s">
        <x:v>51</x:v>
      </x:c>
      <x:c r="D63" s="13">
        <x:v>14.5</x:v>
      </x:c>
      <x:c r="E63" s="13">
        <x:v>28</x:v>
      </x:c>
      <x:c r="F63" s="13">
        <x:v>20</x:v>
      </x:c>
      <x:c r="G63" s="3"/>
      <x:c r="H63" s="3"/>
      <x:c r="I63" s="3"/>
      <x:c r="J63" s="3"/>
      <x:c r="K63" s="3"/>
      <x:c r="L63" s="3"/>
      <x:c r="M63" s="3"/>
      <x:c r="N63" s="3"/>
      <x:c r="O63" s="3"/>
      <x:c r="P63" s="3"/>
      <x:c r="Q63" s="3"/>
      <x:c r="R63" s="3"/>
      <x:c r="S63" s="3"/>
      <x:c r="T63" s="3"/>
      <x:c r="U63" s="3"/>
      <x:c r="V63" s="3"/>
      <x:c r="W63" s="3"/>
    </x:row>
    <x:row r="64" ht="19" customHeight="1">
      <x:c r="A64" s="2"/>
      <x:c r="B64" s="2"/>
      <x:c r="C64" s="2" t="s">
        <x:v>52</x:v>
      </x:c>
      <x:c r="D64" s="13">
        <x:v>76.2</x:v>
      </x:c>
      <x:c r="E64" s="13">
        <x:v>136</x:v>
      </x:c>
      <x:c r="F64" s="13">
        <x:v>24</x:v>
      </x:c>
      <x:c r="G64" s="3"/>
      <x:c r="H64" s="3"/>
      <x:c r="I64" s="3"/>
      <x:c r="J64" s="3"/>
      <x:c r="K64" s="3"/>
      <x:c r="L64" s="3"/>
      <x:c r="M64" s="3"/>
      <x:c r="N64" s="3"/>
      <x:c r="O64" s="3"/>
      <x:c r="P64" s="3"/>
      <x:c r="Q64" s="3"/>
      <x:c r="R64" s="3"/>
      <x:c r="S64" s="3"/>
      <x:c r="T64" s="3"/>
      <x:c r="U64" s="3"/>
      <x:c r="V64" s="3"/>
      <x:c r="W64" s="3"/>
    </x:row>
    <x:row r="65" ht="19" customHeight="1">
      <x:c r="A65" s="2"/>
      <x:c r="B65" s="2"/>
      <x:c r="C65" s="2" t="s">
        <x:v>53</x:v>
      </x:c>
      <x:c r="D65" s="13">
        <x:v>47.8</x:v>
      </x:c>
      <x:c r="E65" s="13">
        <x:v>215</x:v>
      </x:c>
      <x:c r="F65" s="13">
        <x:v>57</x:v>
      </x:c>
      <x:c r="G65" s="3"/>
      <x:c r="H65" s="3"/>
      <x:c r="I65" s="3"/>
      <x:c r="J65" s="3"/>
      <x:c r="K65" s="3"/>
      <x:c r="L65" s="3"/>
      <x:c r="M65" s="3"/>
      <x:c r="N65" s="3"/>
      <x:c r="O65" s="3"/>
      <x:c r="P65" s="3"/>
      <x:c r="Q65" s="3"/>
      <x:c r="R65" s="3"/>
      <x:c r="S65" s="3"/>
      <x:c r="T65" s="3"/>
      <x:c r="U65" s="3"/>
      <x:c r="V65" s="3"/>
      <x:c r="W65" s="3"/>
    </x:row>
    <x:row r="66" ht="19" customHeight="1">
      <x:c r="A66" s="2"/>
      <x:c r="B66" s="2"/>
      <x:c r="C66" s="2" t="s">
        <x:v>245</x:v>
      </x:c>
      <x:c r="D66" s="13">
        <x:v>0</x:v>
      </x:c>
      <x:c r="E66" s="13">
        <x:v>3</x:v>
      </x:c>
      <x:c r="F66" s="13" t="s">
        <x:v>135</x:v>
      </x:c>
      <x:c r="G66" s="3"/>
      <x:c r="H66" s="3"/>
      <x:c r="I66" s="3"/>
      <x:c r="J66" s="3"/>
      <x:c r="K66" s="3"/>
      <x:c r="L66" s="3"/>
      <x:c r="M66" s="3"/>
      <x:c r="N66" s="3"/>
      <x:c r="O66" s="3"/>
      <x:c r="P66" s="3"/>
      <x:c r="Q66" s="3"/>
      <x:c r="R66" s="3"/>
      <x:c r="S66" s="3"/>
      <x:c r="T66" s="3"/>
      <x:c r="U66" s="3"/>
      <x:c r="V66" s="3"/>
      <x:c r="W66" s="3"/>
    </x:row>
    <x:row r="67" ht="19" customHeight="1">
      <x:c r="A67" s="2"/>
      <x:c r="B67" s="2"/>
      <x:c r="C67" s="2"/>
      <x:c r="D67" s="3"/>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11" t="s">
        <x:v>246</x:v>
      </x:c>
      <x:c r="D69" s="12"/>
      <x:c r="E69" s="12"/>
      <x:c r="F69" s="12"/>
      <x:c r="G69" s="12"/>
      <x:c r="H69" s="12"/>
      <x:c r="I69" s="12"/>
      <x:c r="J69" s="12"/>
      <x:c r="K69" s="12"/>
      <x:c r="L69" s="12"/>
      <x:c r="M69" s="12"/>
      <x:c r="N69" s="3"/>
      <x:c r="O69" s="3"/>
      <x:c r="P69" s="3"/>
      <x:c r="Q69" s="3"/>
      <x:c r="R69" s="3"/>
      <x:c r="S69" s="3"/>
      <x:c r="T69" s="3"/>
      <x:c r="U69" s="3"/>
      <x:c r="V69" s="3"/>
      <x:c r="W69" s="3"/>
    </x:row>
    <x:row r="70" ht="19" customHeight="1">
      <x:c r="A70" s="2"/>
      <x:c r="B70" s="2"/>
      <x:c r="C70" s="1"/>
      <x:c r="D70" s="1"/>
      <x:c r="E70" s="1"/>
      <x:c r="F70" s="1"/>
      <x:c r="G70" s="1"/>
      <x:c r="H70" s="1"/>
      <x:c r="I70" s="1"/>
      <x:c r="J70" s="1"/>
      <x:c r="K70" s="1"/>
      <x:c r="L70" s="1"/>
      <x:c r="M70" s="1"/>
      <x:c r="N70" s="3"/>
      <x:c r="O70" s="3"/>
      <x:c r="P70" s="3"/>
      <x:c r="Q70" s="3"/>
      <x:c r="R70" s="3"/>
      <x:c r="S70" s="3"/>
      <x:c r="T70" s="3"/>
      <x:c r="U70" s="3"/>
      <x:c r="V70" s="3"/>
      <x:c r="W70" s="3"/>
    </x:row>
    <x:row r="71" ht="19" customHeight="1">
      <x:c r="A71" s="2"/>
      <x:c r="B71" s="2"/>
      <x:c r="C71" s="16" t="s">
        <x:v>247</x:v>
      </x:c>
      <x:c r="D71" s="16" t="s">
        <x:v>248</x:v>
      </x:c>
      <x:c r="E71" s="16" t="s">
        <x:v>249</x:v>
      </x:c>
      <x:c r="F71" s="16"/>
      <x:c r="G71" s="16"/>
      <x:c r="H71" s="16"/>
      <x:c r="I71" s="16"/>
      <x:c r="J71" s="16"/>
      <x:c r="K71" s="16"/>
      <x:c r="L71" s="16"/>
      <x:c r="M71" s="16"/>
      <x:c r="N71" s="3"/>
      <x:c r="O71" s="3"/>
      <x:c r="P71" s="3"/>
      <x:c r="Q71" s="3"/>
      <x:c r="R71" s="3"/>
      <x:c r="S71" s="3"/>
      <x:c r="T71" s="3"/>
      <x:c r="U71" s="3"/>
      <x:c r="V71" s="3"/>
      <x:c r="W71" s="3"/>
    </x:row>
    <x:row r="72" ht="19" customHeight="1">
      <x:c r="A72" s="2"/>
      <x:c r="B72" s="2"/>
      <x:c r="C72" s="1" t="s">
        <x:v>250</x:v>
      </x:c>
      <x:c r="D72" s="1" t="s">
        <x:v>251</x:v>
      </x:c>
      <x:c r="E72" s="1"/>
      <x:c r="F72" s="1"/>
      <x:c r="G72" s="1"/>
      <x:c r="H72" s="1"/>
      <x:c r="I72" s="1"/>
      <x:c r="J72" s="1"/>
      <x:c r="K72" s="1"/>
      <x:c r="L72" s="1"/>
      <x:c r="M72" s="1"/>
      <x:c r="N72" s="3"/>
      <x:c r="O72" s="3"/>
      <x:c r="P72" s="3"/>
      <x:c r="Q72" s="3"/>
      <x:c r="R72" s="3"/>
      <x:c r="S72" s="3"/>
      <x:c r="T72" s="3"/>
      <x:c r="U72" s="3"/>
      <x:c r="V72" s="3"/>
      <x:c r="W72" s="3"/>
    </x:row>
    <x:row r="73" ht="19" customHeight="1">
      <x:c r="A73" s="2"/>
      <x:c r="B73" s="2"/>
      <x:c r="C73" s="1" t="s">
        <x:v>252</x:v>
      </x:c>
      <x:c r="D73" s="1" t="s">
        <x:v>253</x:v>
      </x:c>
      <x:c r="E73" s="1"/>
      <x:c r="F73" s="1"/>
      <x:c r="G73" s="1"/>
      <x:c r="H73" s="1"/>
      <x:c r="I73" s="1"/>
      <x:c r="J73" s="1"/>
      <x:c r="K73" s="1"/>
      <x:c r="L73" s="1"/>
      <x:c r="M73" s="1"/>
      <x:c r="N73" s="3"/>
      <x:c r="O73" s="3"/>
      <x:c r="P73" s="3"/>
      <x:c r="Q73" s="3"/>
      <x:c r="R73" s="3"/>
      <x:c r="S73" s="3"/>
      <x:c r="T73" s="3"/>
      <x:c r="U73" s="3"/>
      <x:c r="V73" s="3"/>
      <x:c r="W73" s="3"/>
    </x:row>
    <x:row r="74" ht="19" customHeight="1">
      <x:c r="A74" s="2"/>
      <x:c r="B74" s="2"/>
      <x:c r="C74" s="1"/>
      <x:c r="D74" s="1"/>
      <x:c r="E74" s="1"/>
      <x:c r="F74" s="1"/>
      <x:c r="G74" s="1"/>
      <x:c r="H74" s="1"/>
      <x:c r="I74" s="1"/>
      <x:c r="J74" s="1"/>
      <x:c r="K74" s="1"/>
      <x:c r="L74" s="1"/>
      <x:c r="M74" s="1"/>
      <x:c r="N74" s="3"/>
      <x:c r="O74" s="3"/>
      <x:c r="P74" s="3"/>
      <x:c r="Q74" s="3"/>
      <x:c r="R74" s="3"/>
      <x:c r="S74" s="3"/>
      <x:c r="T74" s="3"/>
      <x:c r="U74" s="3"/>
      <x:c r="V74" s="3"/>
      <x:c r="W74" s="3"/>
    </x:row>
    <x:row r="75" ht="19" customHeight="1">
      <x:c r="A75" s="2"/>
      <x:c r="B75" s="2"/>
      <x:c r="C75" s="16" t="s">
        <x:v>254</x:v>
      </x:c>
      <x:c r="D75" s="16" t="s">
        <x:v>255</x:v>
      </x:c>
      <x:c r="E75" s="16" t="s">
        <x:v>256</x:v>
      </x:c>
      <x:c r="F75" s="16"/>
      <x:c r="G75" s="16"/>
      <x:c r="H75" s="16"/>
      <x:c r="I75" s="16"/>
      <x:c r="J75" s="16"/>
      <x:c r="K75" s="16"/>
      <x:c r="L75" s="16"/>
      <x:c r="M75" s="16"/>
      <x:c r="N75" s="3"/>
      <x:c r="O75" s="3"/>
      <x:c r="P75" s="3"/>
      <x:c r="Q75" s="3"/>
      <x:c r="R75" s="3"/>
      <x:c r="S75" s="3"/>
      <x:c r="T75" s="3"/>
      <x:c r="U75" s="3"/>
      <x:c r="V75" s="3"/>
      <x:c r="W75" s="3"/>
    </x:row>
    <x:row r="76" ht="19" customHeight="1">
      <x:c r="A76" s="2"/>
      <x:c r="B76" s="2"/>
      <x:c r="C76" s="1" t="s">
        <x:v>250</x:v>
      </x:c>
      <x:c r="D76" s="1" t="s">
        <x:v>257</x:v>
      </x:c>
      <x:c r="E76" s="1"/>
      <x:c r="F76" s="1"/>
      <x:c r="G76" s="1"/>
      <x:c r="H76" s="1"/>
      <x:c r="I76" s="1"/>
      <x:c r="J76" s="1"/>
      <x:c r="K76" s="1"/>
      <x:c r="L76" s="1"/>
      <x:c r="M76" s="1"/>
      <x:c r="N76" s="3"/>
      <x:c r="O76" s="3"/>
      <x:c r="P76" s="3"/>
      <x:c r="Q76" s="3"/>
      <x:c r="R76" s="3"/>
      <x:c r="S76" s="3"/>
      <x:c r="T76" s="3"/>
      <x:c r="U76" s="3"/>
      <x:c r="V76" s="3"/>
      <x:c r="W76" s="3"/>
    </x:row>
    <x:row r="77" ht="19" customHeight="1">
      <x:c r="A77" s="2"/>
      <x:c r="B77" s="2"/>
      <x:c r="C77" s="1" t="s">
        <x:v>252</x:v>
      </x:c>
      <x:c r="D77" s="1" t="s">
        <x:v>258</x:v>
      </x:c>
      <x:c r="E77" s="1"/>
      <x:c r="F77" s="1"/>
      <x:c r="G77" s="1"/>
      <x:c r="H77" s="1"/>
      <x:c r="I77" s="1"/>
      <x:c r="J77" s="1"/>
      <x:c r="K77" s="1"/>
      <x:c r="L77" s="1"/>
      <x:c r="M77" s="1"/>
      <x:c r="N77" s="3"/>
      <x:c r="O77" s="3"/>
      <x:c r="P77" s="3"/>
      <x:c r="Q77" s="3"/>
      <x:c r="R77" s="3"/>
      <x:c r="S77" s="3"/>
      <x:c r="T77" s="3"/>
      <x:c r="U77" s="3"/>
      <x:c r="V77" s="3"/>
      <x:c r="W77" s="3"/>
    </x:row>
    <x:row r="78" ht="19" customHeight="1">
      <x:c r="A78" s="2"/>
      <x:c r="B78" s="2"/>
      <x:c r="C78" s="1"/>
      <x:c r="D78" s="1"/>
      <x:c r="E78" s="1"/>
      <x:c r="F78" s="1"/>
      <x:c r="G78" s="1"/>
      <x:c r="H78" s="1"/>
      <x:c r="I78" s="1"/>
      <x:c r="J78" s="1"/>
      <x:c r="K78" s="1"/>
      <x:c r="L78" s="1"/>
      <x:c r="M78" s="1"/>
      <x:c r="N78" s="3"/>
      <x:c r="O78" s="3"/>
      <x:c r="P78" s="3"/>
      <x:c r="Q78" s="3"/>
      <x:c r="R78" s="3"/>
      <x:c r="S78" s="3"/>
      <x:c r="T78" s="3"/>
      <x:c r="U78" s="3"/>
      <x:c r="V78" s="3"/>
      <x:c r="W78" s="3"/>
    </x:row>
    <x:row r="79" ht="19" customHeight="1">
      <x:c r="A79" s="2"/>
      <x:c r="B79" s="2"/>
      <x:c r="C79" s="16" t="s">
        <x:v>259</x:v>
      </x:c>
      <x:c r="D79" s="16" t="s">
        <x:v>260</x:v>
      </x:c>
      <x:c r="E79" s="16" t="s">
        <x:v>261</x:v>
      </x:c>
      <x:c r="F79" s="16"/>
      <x:c r="G79" s="16"/>
      <x:c r="H79" s="16"/>
      <x:c r="I79" s="16"/>
      <x:c r="J79" s="16"/>
      <x:c r="K79" s="16"/>
      <x:c r="L79" s="16"/>
      <x:c r="M79" s="16"/>
      <x:c r="N79" s="3"/>
      <x:c r="O79" s="3"/>
      <x:c r="P79" s="3"/>
      <x:c r="Q79" s="3"/>
      <x:c r="R79" s="3"/>
      <x:c r="S79" s="3"/>
      <x:c r="T79" s="3"/>
      <x:c r="U79" s="3"/>
      <x:c r="V79" s="3"/>
      <x:c r="W79" s="3"/>
    </x:row>
    <x:row r="80" ht="19" customHeight="1">
      <x:c r="A80" s="2"/>
      <x:c r="B80" s="2"/>
      <x:c r="C80" s="1" t="s">
        <x:v>250</x:v>
      </x:c>
      <x:c r="D80" s="1" t="s">
        <x:v>251</x:v>
      </x:c>
      <x:c r="E80" s="1"/>
      <x:c r="F80" s="1"/>
      <x:c r="G80" s="1"/>
      <x:c r="H80" s="1"/>
      <x:c r="I80" s="1"/>
      <x:c r="J80" s="1"/>
      <x:c r="K80" s="1"/>
      <x:c r="L80" s="1"/>
      <x:c r="M80" s="1"/>
      <x:c r="N80" s="3"/>
      <x:c r="O80" s="3"/>
      <x:c r="P80" s="3"/>
      <x:c r="Q80" s="3"/>
      <x:c r="R80" s="3"/>
      <x:c r="S80" s="3"/>
      <x:c r="T80" s="3"/>
      <x:c r="U80" s="3"/>
      <x:c r="V80" s="3"/>
      <x:c r="W80" s="3"/>
    </x:row>
    <x:row r="81" ht="19" customHeight="1">
      <x:c r="A81" s="2"/>
      <x:c r="B81" s="2"/>
      <x:c r="C81" s="1" t="s">
        <x:v>252</x:v>
      </x:c>
      <x:c r="D81" s="1" t="s">
        <x:v>253</x:v>
      </x:c>
      <x:c r="E81" s="1"/>
      <x:c r="F81" s="1"/>
      <x:c r="G81" s="1"/>
      <x:c r="H81" s="1"/>
      <x:c r="I81" s="1"/>
      <x:c r="J81" s="1"/>
      <x:c r="K81" s="1"/>
      <x:c r="L81" s="1"/>
      <x:c r="M81" s="1"/>
      <x:c r="N81" s="3"/>
      <x:c r="O81" s="3"/>
      <x:c r="P81" s="3"/>
      <x:c r="Q81" s="3"/>
      <x:c r="R81" s="3"/>
      <x:c r="S81" s="3"/>
      <x:c r="T81" s="3"/>
      <x:c r="U81" s="3"/>
      <x:c r="V81" s="3"/>
      <x:c r="W81" s="3"/>
    </x:row>
    <x:row r="82" ht="19" customHeight="1">
      <x:c r="A82" s="2"/>
      <x:c r="B82" s="2"/>
      <x:c r="C82" s="1"/>
      <x:c r="D82" s="1"/>
      <x:c r="E82" s="1"/>
      <x:c r="F82" s="1"/>
      <x:c r="G82" s="1"/>
      <x:c r="H82" s="1"/>
      <x:c r="I82" s="1"/>
      <x:c r="J82" s="1"/>
      <x:c r="K82" s="1"/>
      <x:c r="L82" s="1"/>
      <x:c r="M82" s="1"/>
      <x:c r="N82" s="3"/>
      <x:c r="O82" s="3"/>
      <x:c r="P82" s="3"/>
      <x:c r="Q82" s="3"/>
      <x:c r="R82" s="3"/>
      <x:c r="S82" s="3"/>
      <x:c r="T82" s="3"/>
      <x:c r="U82" s="3"/>
      <x:c r="V82" s="3"/>
      <x:c r="W82" s="3"/>
    </x:row>
    <x:row r="83" ht="19" customHeight="1">
      <x:c r="A83" s="2"/>
      <x:c r="B83" s="2"/>
      <x:c r="C83" s="16" t="s">
        <x:v>262</x:v>
      </x:c>
      <x:c r="D83" s="16" t="s">
        <x:v>263</x:v>
      </x:c>
      <x:c r="E83" s="16" t="s">
        <x:v>264</x:v>
      </x:c>
      <x:c r="F83" s="16"/>
      <x:c r="G83" s="16"/>
      <x:c r="H83" s="16"/>
      <x:c r="I83" s="16"/>
      <x:c r="J83" s="16"/>
      <x:c r="K83" s="16"/>
      <x:c r="L83" s="16"/>
      <x:c r="M83" s="16"/>
      <x:c r="N83" s="3"/>
      <x:c r="O83" s="3"/>
      <x:c r="P83" s="3"/>
      <x:c r="Q83" s="3"/>
      <x:c r="R83" s="3"/>
      <x:c r="S83" s="3"/>
      <x:c r="T83" s="3"/>
      <x:c r="U83" s="3"/>
      <x:c r="V83" s="3"/>
      <x:c r="W83" s="3"/>
    </x:row>
    <x:row r="84" ht="19" customHeight="1">
      <x:c r="A84" s="2"/>
      <x:c r="B84" s="2"/>
      <x:c r="C84" s="1" t="s">
        <x:v>250</x:v>
      </x:c>
      <x:c r="D84" s="1" t="s">
        <x:v>265</x:v>
      </x:c>
      <x:c r="E84" s="1"/>
      <x:c r="F84" s="1"/>
      <x:c r="G84" s="1"/>
      <x:c r="H84" s="1"/>
      <x:c r="I84" s="1"/>
      <x:c r="J84" s="1"/>
      <x:c r="K84" s="1"/>
      <x:c r="L84" s="1"/>
      <x:c r="M84" s="1"/>
      <x:c r="N84" s="3"/>
      <x:c r="O84" s="3"/>
      <x:c r="P84" s="3"/>
      <x:c r="Q84" s="3"/>
      <x:c r="R84" s="3"/>
      <x:c r="S84" s="3"/>
      <x:c r="T84" s="3"/>
      <x:c r="U84" s="3"/>
      <x:c r="V84" s="3"/>
      <x:c r="W84" s="3"/>
    </x:row>
    <x:row r="85" ht="19" customHeight="1">
      <x:c r="A85" s="2"/>
      <x:c r="B85" s="2"/>
      <x:c r="C85" s="1" t="s">
        <x:v>252</x:v>
      </x:c>
      <x:c r="D85" s="1" t="s">
        <x:v>266</x:v>
      </x:c>
      <x:c r="E85" s="1"/>
      <x:c r="F85" s="1"/>
      <x:c r="G85" s="1"/>
      <x:c r="H85" s="1"/>
      <x:c r="I85" s="1"/>
      <x:c r="J85" s="1"/>
      <x:c r="K85" s="1"/>
      <x:c r="L85" s="1"/>
      <x:c r="M85" s="1"/>
      <x:c r="N85" s="3"/>
      <x:c r="O85" s="3"/>
      <x:c r="P85" s="3"/>
      <x:c r="Q85" s="3"/>
      <x:c r="R85" s="3"/>
      <x:c r="S85" s="3"/>
      <x:c r="T85" s="3"/>
      <x:c r="U85" s="3"/>
      <x:c r="V85" s="3"/>
      <x:c r="W85" s="3"/>
    </x:row>
    <x:row r="86" ht="19" customHeight="1">
      <x:c r="A86" s="2"/>
      <x:c r="B86" s="2"/>
      <x:c r="C86" s="1"/>
      <x:c r="D86" s="1"/>
      <x:c r="E86" s="1"/>
      <x:c r="F86" s="1"/>
      <x:c r="G86" s="1"/>
      <x:c r="H86" s="1"/>
      <x:c r="I86" s="1"/>
      <x:c r="J86" s="1"/>
      <x:c r="K86" s="1"/>
      <x:c r="L86" s="1"/>
      <x:c r="M86" s="1"/>
      <x:c r="N86" s="3"/>
      <x:c r="O86" s="3"/>
      <x:c r="P86" s="3"/>
      <x:c r="Q86" s="3"/>
      <x:c r="R86" s="3"/>
      <x:c r="S86" s="3"/>
      <x:c r="T86" s="3"/>
      <x:c r="U86" s="3"/>
      <x:c r="V86" s="3"/>
      <x:c r="W86" s="3"/>
    </x:row>
    <x:row r="87" ht="19" customHeight="1">
      <x:c r="A87" s="2"/>
      <x:c r="B87" s="2"/>
      <x:c r="C87" s="16" t="s">
        <x:v>267</x:v>
      </x:c>
      <x:c r="D87" s="16" t="s">
        <x:v>268</x:v>
      </x:c>
      <x:c r="E87" s="16" t="s">
        <x:v>269</x:v>
      </x:c>
      <x:c r="F87" s="16"/>
      <x:c r="G87" s="16"/>
      <x:c r="H87" s="16"/>
      <x:c r="I87" s="16"/>
      <x:c r="J87" s="16"/>
      <x:c r="K87" s="16"/>
      <x:c r="L87" s="16"/>
      <x:c r="M87" s="16"/>
      <x:c r="N87" s="3"/>
      <x:c r="O87" s="3"/>
      <x:c r="P87" s="3"/>
      <x:c r="Q87" s="3"/>
      <x:c r="R87" s="3"/>
      <x:c r="S87" s="3"/>
      <x:c r="T87" s="3"/>
      <x:c r="U87" s="3"/>
      <x:c r="V87" s="3"/>
      <x:c r="W87" s="3"/>
    </x:row>
    <x:row r="88" ht="19" customHeight="1">
      <x:c r="A88" s="2"/>
      <x:c r="B88" s="2"/>
      <x:c r="C88" s="1" t="s">
        <x:v>250</x:v>
      </x:c>
      <x:c r="D88" s="1" t="s">
        <x:v>251</x:v>
      </x:c>
      <x:c r="E88" s="1"/>
      <x:c r="F88" s="1"/>
      <x:c r="G88" s="1"/>
      <x:c r="H88" s="1"/>
      <x:c r="I88" s="1"/>
      <x:c r="J88" s="1"/>
      <x:c r="K88" s="1"/>
      <x:c r="L88" s="1"/>
      <x:c r="M88" s="1"/>
      <x:c r="N88" s="3"/>
      <x:c r="O88" s="3"/>
      <x:c r="P88" s="3"/>
      <x:c r="Q88" s="3"/>
      <x:c r="R88" s="3"/>
      <x:c r="S88" s="3"/>
      <x:c r="T88" s="3"/>
      <x:c r="U88" s="3"/>
      <x:c r="V88" s="3"/>
      <x:c r="W88" s="3"/>
    </x:row>
    <x:row r="89" ht="19" customHeight="1">
      <x:c r="A89" s="2"/>
      <x:c r="B89" s="2"/>
      <x:c r="C89" s="1" t="s">
        <x:v>252</x:v>
      </x:c>
      <x:c r="D89" s="1" t="s">
        <x:v>253</x:v>
      </x:c>
      <x:c r="E89" s="1"/>
      <x:c r="F89" s="1"/>
      <x:c r="G89" s="1"/>
      <x:c r="H89" s="1"/>
      <x:c r="I89" s="1"/>
      <x:c r="J89" s="1"/>
      <x:c r="K89" s="1"/>
      <x:c r="L89" s="1"/>
      <x:c r="M89" s="1"/>
      <x:c r="N89" s="3"/>
      <x:c r="O89" s="3"/>
      <x:c r="P89" s="3"/>
      <x:c r="Q89" s="3"/>
      <x:c r="R89" s="3"/>
      <x:c r="S89" s="3"/>
      <x:c r="T89" s="3"/>
      <x:c r="U89" s="3"/>
      <x:c r="V89" s="3"/>
      <x:c r="W89" s="3"/>
    </x:row>
    <x:row r="90" ht="19" customHeight="1">
      <x:c r="A90" s="2"/>
      <x:c r="B90" s="2"/>
      <x:c r="C90" s="1"/>
      <x:c r="D90" s="1"/>
      <x:c r="E90" s="1"/>
      <x:c r="F90" s="1"/>
      <x:c r="G90" s="1"/>
      <x:c r="H90" s="1"/>
      <x:c r="I90" s="1"/>
      <x:c r="J90" s="1"/>
      <x:c r="K90" s="1"/>
      <x:c r="L90" s="1"/>
      <x:c r="M90" s="1"/>
      <x:c r="N90" s="3"/>
      <x:c r="O90" s="3"/>
      <x:c r="P90" s="3"/>
      <x:c r="Q90" s="3"/>
      <x:c r="R90" s="3"/>
      <x:c r="S90" s="3"/>
      <x:c r="T90" s="3"/>
      <x:c r="U90" s="3"/>
      <x:c r="V90" s="3"/>
      <x:c r="W90" s="3"/>
    </x:row>
    <x:row r="91" ht="19" customHeight="1">
      <x:c r="A91" s="2"/>
      <x:c r="B91" s="2"/>
      <x:c r="C91" s="16" t="s">
        <x:v>270</x:v>
      </x:c>
      <x:c r="D91" s="16" t="s">
        <x:v>271</x:v>
      </x:c>
      <x:c r="E91" s="16" t="s">
        <x:v>272</x:v>
      </x:c>
      <x:c r="F91" s="16"/>
      <x:c r="G91" s="16"/>
      <x:c r="H91" s="16"/>
      <x:c r="I91" s="16"/>
      <x:c r="J91" s="16"/>
      <x:c r="K91" s="16"/>
      <x:c r="L91" s="16"/>
      <x:c r="M91" s="16"/>
      <x:c r="N91" s="3"/>
      <x:c r="O91" s="3"/>
      <x:c r="P91" s="3"/>
      <x:c r="Q91" s="3"/>
      <x:c r="R91" s="3"/>
      <x:c r="S91" s="3"/>
      <x:c r="T91" s="3"/>
      <x:c r="U91" s="3"/>
      <x:c r="V91" s="3"/>
      <x:c r="W91" s="3"/>
    </x:row>
    <x:row r="92" ht="19" customHeight="1">
      <x:c r="A92" s="2"/>
      <x:c r="B92" s="2"/>
      <x:c r="C92" s="1" t="s">
        <x:v>250</x:v>
      </x:c>
      <x:c r="D92" s="1" t="s">
        <x:v>273</x:v>
      </x:c>
      <x:c r="E92" s="1"/>
      <x:c r="F92" s="1"/>
      <x:c r="G92" s="1"/>
      <x:c r="H92" s="1"/>
      <x:c r="I92" s="1"/>
      <x:c r="J92" s="1"/>
      <x:c r="K92" s="1"/>
      <x:c r="L92" s="1"/>
      <x:c r="M92" s="1"/>
      <x:c r="N92" s="3"/>
      <x:c r="O92" s="3"/>
      <x:c r="P92" s="3"/>
      <x:c r="Q92" s="3"/>
      <x:c r="R92" s="3"/>
      <x:c r="S92" s="3"/>
      <x:c r="T92" s="3"/>
      <x:c r="U92" s="3"/>
      <x:c r="V92" s="3"/>
      <x:c r="W92" s="3"/>
    </x:row>
    <x:row r="93" ht="19" customHeight="1">
      <x:c r="A93" s="2"/>
      <x:c r="B93" s="2"/>
      <x:c r="C93" s="1" t="s">
        <x:v>252</x:v>
      </x:c>
      <x:c r="D93" s="1" t="s">
        <x:v>274</x:v>
      </x:c>
      <x:c r="E93" s="1"/>
      <x:c r="F93" s="1"/>
      <x:c r="G93" s="1"/>
      <x:c r="H93" s="1"/>
      <x:c r="I93" s="1"/>
      <x:c r="J93" s="1"/>
      <x:c r="K93" s="1"/>
      <x:c r="L93" s="1"/>
      <x:c r="M93" s="1"/>
      <x:c r="N93" s="3"/>
      <x:c r="O93" s="3"/>
      <x:c r="P93" s="3"/>
      <x:c r="Q93" s="3"/>
      <x:c r="R93" s="3"/>
      <x:c r="S93" s="3"/>
      <x:c r="T93" s="3"/>
      <x:c r="U93" s="3"/>
      <x:c r="V93" s="3"/>
      <x:c r="W93" s="3"/>
    </x:row>
    <x:row r="94" ht="19" customHeight="1">
      <x:c r="A94" s="2"/>
      <x:c r="B94" s="2"/>
      <x:c r="C94" s="1"/>
      <x:c r="D94" s="1"/>
      <x:c r="E94" s="1"/>
      <x:c r="F94" s="1"/>
      <x:c r="G94" s="1"/>
      <x:c r="H94" s="1"/>
      <x:c r="I94" s="1"/>
      <x:c r="J94" s="1"/>
      <x:c r="K94" s="1"/>
      <x:c r="L94" s="1"/>
      <x:c r="M94" s="1"/>
      <x:c r="N94" s="3"/>
      <x:c r="O94" s="3"/>
      <x:c r="P94" s="3"/>
      <x:c r="Q94" s="3"/>
      <x:c r="R94" s="3"/>
      <x:c r="S94" s="3"/>
      <x:c r="T94" s="3"/>
      <x:c r="U94" s="3"/>
      <x:c r="V94" s="3"/>
      <x:c r="W94" s="3"/>
    </x:row>
    <x:row r="95" ht="19" customHeight="1">
      <x:c r="A95" s="2"/>
      <x:c r="B95" s="2"/>
      <x:c r="C95" s="16" t="s">
        <x:v>275</x:v>
      </x:c>
      <x:c r="D95" s="16" t="s">
        <x:v>276</x:v>
      </x:c>
      <x:c r="E95" s="16" t="s">
        <x:v>277</x:v>
      </x:c>
      <x:c r="F95" s="16"/>
      <x:c r="G95" s="16"/>
      <x:c r="H95" s="16"/>
      <x:c r="I95" s="16"/>
      <x:c r="J95" s="16"/>
      <x:c r="K95" s="16"/>
      <x:c r="L95" s="16"/>
      <x:c r="M95" s="16"/>
      <x:c r="N95" s="3"/>
      <x:c r="O95" s="3"/>
      <x:c r="P95" s="3"/>
      <x:c r="Q95" s="3"/>
      <x:c r="R95" s="3"/>
      <x:c r="S95" s="3"/>
      <x:c r="T95" s="3"/>
      <x:c r="U95" s="3"/>
      <x:c r="V95" s="3"/>
      <x:c r="W95" s="3"/>
    </x:row>
    <x:row r="96" ht="19" customHeight="1">
      <x:c r="A96" s="2"/>
      <x:c r="B96" s="2"/>
      <x:c r="C96" s="1" t="s">
        <x:v>250</x:v>
      </x:c>
      <x:c r="D96" s="1" t="s">
        <x:v>251</x:v>
      </x:c>
      <x:c r="E96" s="1"/>
      <x:c r="F96" s="1"/>
      <x:c r="G96" s="1"/>
      <x:c r="H96" s="1"/>
      <x:c r="I96" s="1"/>
      <x:c r="J96" s="1"/>
      <x:c r="K96" s="1"/>
      <x:c r="L96" s="1"/>
      <x:c r="M96" s="1"/>
      <x:c r="N96" s="3"/>
      <x:c r="O96" s="3"/>
      <x:c r="P96" s="3"/>
      <x:c r="Q96" s="3"/>
      <x:c r="R96" s="3"/>
      <x:c r="S96" s="3"/>
      <x:c r="T96" s="3"/>
      <x:c r="U96" s="3"/>
      <x:c r="V96" s="3"/>
      <x:c r="W96" s="3"/>
    </x:row>
    <x:row r="97" ht="19" customHeight="1">
      <x:c r="A97" s="2"/>
      <x:c r="B97" s="2"/>
      <x:c r="C97" s="1" t="s">
        <x:v>252</x:v>
      </x:c>
      <x:c r="D97" s="1" t="s">
        <x:v>253</x:v>
      </x:c>
      <x:c r="E97" s="1"/>
      <x:c r="F97" s="1"/>
      <x:c r="G97" s="1"/>
      <x:c r="H97" s="1"/>
      <x:c r="I97" s="1"/>
      <x:c r="J97" s="1"/>
      <x:c r="K97" s="1"/>
      <x:c r="L97" s="1"/>
      <x:c r="M97" s="1"/>
      <x:c r="N97" s="3"/>
      <x:c r="O97" s="3"/>
      <x:c r="P97" s="3"/>
      <x:c r="Q97" s="3"/>
      <x:c r="R97" s="3"/>
      <x:c r="S97" s="3"/>
      <x:c r="T97" s="3"/>
      <x:c r="U97" s="3"/>
      <x:c r="V97" s="3"/>
      <x:c r="W97" s="3"/>
    </x:row>
    <x:row r="98" ht="19" customHeight="1">
      <x:c r="A98" s="2"/>
      <x:c r="B98" s="2"/>
      <x:c r="C98" s="1"/>
      <x:c r="D98" s="1"/>
      <x:c r="E98" s="1"/>
      <x:c r="F98" s="1"/>
      <x:c r="G98" s="1"/>
      <x:c r="H98" s="1"/>
      <x:c r="I98" s="1"/>
      <x:c r="J98" s="1"/>
      <x:c r="K98" s="1"/>
      <x:c r="L98" s="1"/>
      <x:c r="M98" s="1"/>
      <x:c r="N98" s="3"/>
      <x:c r="O98" s="3"/>
      <x:c r="P98" s="3"/>
      <x:c r="Q98" s="3"/>
      <x:c r="R98" s="3"/>
      <x:c r="S98" s="3"/>
      <x:c r="T98" s="3"/>
      <x:c r="U98" s="3"/>
      <x:c r="V98" s="3"/>
      <x:c r="W98" s="3"/>
    </x:row>
    <x:row r="99" ht="19" customHeight="1">
      <x:c r="A99" s="2"/>
      <x:c r="B99" s="2"/>
      <x:c r="C99" s="16" t="s">
        <x:v>278</x:v>
      </x:c>
      <x:c r="D99" s="16" t="s">
        <x:v>279</x:v>
      </x:c>
      <x:c r="E99" s="16" t="s">
        <x:v>280</x:v>
      </x:c>
      <x:c r="F99" s="16"/>
      <x:c r="G99" s="16"/>
      <x:c r="H99" s="16"/>
      <x:c r="I99" s="16"/>
      <x:c r="J99" s="16"/>
      <x:c r="K99" s="16"/>
      <x:c r="L99" s="16"/>
      <x:c r="M99" s="16"/>
      <x:c r="N99" s="3"/>
      <x:c r="O99" s="3"/>
      <x:c r="P99" s="3"/>
      <x:c r="Q99" s="3"/>
      <x:c r="R99" s="3"/>
      <x:c r="S99" s="3"/>
      <x:c r="T99" s="3"/>
      <x:c r="U99" s="3"/>
      <x:c r="V99" s="3"/>
      <x:c r="W99" s="3"/>
    </x:row>
    <x:row r="100" ht="19" customHeight="1">
      <x:c r="A100" s="2"/>
      <x:c r="B100" s="2"/>
      <x:c r="C100" s="1" t="s">
        <x:v>250</x:v>
      </x:c>
      <x:c r="D100" s="1" t="s">
        <x:v>281</x:v>
      </x:c>
      <x:c r="E100" s="1"/>
      <x:c r="F100" s="1"/>
      <x:c r="G100" s="1"/>
      <x:c r="H100" s="1"/>
      <x:c r="I100" s="1"/>
      <x:c r="J100" s="1"/>
      <x:c r="K100" s="1"/>
      <x:c r="L100" s="1"/>
      <x:c r="M100" s="1"/>
      <x:c r="N100" s="3"/>
      <x:c r="O100" s="3"/>
      <x:c r="P100" s="3"/>
      <x:c r="Q100" s="3"/>
      <x:c r="R100" s="3"/>
      <x:c r="S100" s="3"/>
      <x:c r="T100" s="3"/>
      <x:c r="U100" s="3"/>
      <x:c r="V100" s="3"/>
      <x:c r="W100" s="3"/>
    </x:row>
    <x:row r="101" ht="19" customHeight="1">
      <x:c r="C101" s="1" t="s">
        <x:v>252</x:v>
      </x:c>
      <x:c r="D101" s="1" t="s">
        <x:v>282</x:v>
      </x:c>
      <x:c r="E101" s="1"/>
      <x:c r="F101" s="1"/>
      <x:c r="G101" s="1"/>
      <x:c r="H101" s="1"/>
      <x:c r="I101" s="1"/>
      <x:c r="J101" s="1"/>
      <x:c r="K101" s="1"/>
      <x:c r="L101" s="1"/>
      <x:c r="M101" s="1"/>
    </x:row>
    <x:row r="102" ht="19" customHeight="1">
      <x:c r="C102" s="1"/>
      <x:c r="D102" s="1"/>
      <x:c r="E102" s="1"/>
      <x:c r="F102" s="1"/>
      <x:c r="G102" s="1"/>
      <x:c r="H102" s="1"/>
      <x:c r="I102" s="1"/>
      <x:c r="J102" s="1"/>
      <x:c r="K102" s="1"/>
      <x:c r="L102" s="1"/>
      <x:c r="M102" s="1"/>
    </x:row>
    <x:row r="103" ht="19" customHeight="1">
      <x:c r="C103" s="16" t="s">
        <x:v>283</x:v>
      </x:c>
      <x:c r="D103" s="16" t="s">
        <x:v>284</x:v>
      </x:c>
      <x:c r="E103" s="16" t="s">
        <x:v>285</x:v>
      </x:c>
      <x:c r="F103" s="16"/>
      <x:c r="G103" s="16"/>
      <x:c r="H103" s="16"/>
      <x:c r="I103" s="16"/>
      <x:c r="J103" s="16"/>
      <x:c r="K103" s="16"/>
      <x:c r="L103" s="16"/>
      <x:c r="M103" s="16"/>
    </x:row>
    <x:row r="104" ht="19" customHeight="1">
      <x:c r="C104" s="1" t="s">
        <x:v>250</x:v>
      </x:c>
      <x:c r="D104" s="1" t="s">
        <x:v>251</x:v>
      </x:c>
      <x:c r="E104" s="1"/>
      <x:c r="F104" s="1"/>
      <x:c r="G104" s="1"/>
      <x:c r="H104" s="1"/>
      <x:c r="I104" s="1"/>
      <x:c r="J104" s="1"/>
      <x:c r="K104" s="1"/>
      <x:c r="L104" s="1"/>
      <x:c r="M104" s="1"/>
    </x:row>
    <x:row r="105" ht="19" customHeight="1">
      <x:c r="C105" s="1" t="s">
        <x:v>252</x:v>
      </x:c>
      <x:c r="D105" s="1" t="s">
        <x:v>253</x:v>
      </x:c>
      <x:c r="E105" s="1"/>
      <x:c r="F105" s="1"/>
      <x:c r="G105" s="1"/>
      <x:c r="H105" s="1"/>
      <x:c r="I105" s="1"/>
      <x:c r="J105" s="1"/>
      <x:c r="K105" s="1"/>
      <x:c r="L105" s="1"/>
      <x:c r="M105" s="1"/>
    </x:row>
    <x:row r="106" ht="19" customHeight="1">
      <x:c r="C106" s="1"/>
      <x:c r="D106" s="1"/>
      <x:c r="E106" s="1"/>
      <x:c r="F106" s="1"/>
      <x:c r="G106" s="1"/>
      <x:c r="H106" s="1"/>
      <x:c r="I106" s="1"/>
      <x:c r="J106" s="1"/>
      <x:c r="K106" s="1"/>
      <x:c r="L106" s="1"/>
      <x:c r="M106" s="1"/>
    </x:row>
    <x:row r="107" ht="19" customHeight="1">
      <x:c r="C107" s="16" t="s">
        <x:v>286</x:v>
      </x:c>
      <x:c r="D107" s="16" t="s">
        <x:v>287</x:v>
      </x:c>
      <x:c r="E107" s="16" t="s">
        <x:v>288</x:v>
      </x:c>
      <x:c r="F107" s="16"/>
      <x:c r="G107" s="16"/>
      <x:c r="H107" s="16"/>
      <x:c r="I107" s="16"/>
      <x:c r="J107" s="16"/>
      <x:c r="K107" s="16"/>
      <x:c r="L107" s="16"/>
      <x:c r="M107" s="16"/>
    </x:row>
    <x:row r="108" ht="19" customHeight="1">
      <x:c r="C108" s="1" t="s">
        <x:v>250</x:v>
      </x:c>
      <x:c r="D108" s="1" t="s">
        <x:v>289</x:v>
      </x:c>
      <x:c r="E108" s="1"/>
      <x:c r="F108" s="1"/>
      <x:c r="G108" s="1"/>
      <x:c r="H108" s="1"/>
      <x:c r="I108" s="1"/>
      <x:c r="J108" s="1"/>
      <x:c r="K108" s="1"/>
      <x:c r="L108" s="1"/>
      <x:c r="M108" s="1"/>
    </x:row>
    <x:row r="109" ht="19" customHeight="1">
      <x:c r="C109" s="1" t="s">
        <x:v>252</x:v>
      </x:c>
      <x:c r="D109" s="1" t="s">
        <x:v>290</x:v>
      </x:c>
      <x:c r="E109" s="1"/>
      <x:c r="F109" s="1"/>
      <x:c r="G109" s="1"/>
      <x:c r="H109" s="1"/>
      <x:c r="I109" s="1"/>
      <x:c r="J109" s="1"/>
      <x:c r="K109" s="1"/>
      <x:c r="L109" s="1"/>
      <x:c r="M109" s="1"/>
    </x:row>
    <x:row r="110" ht="19" customHeight="1">
      <x:c r="C110" s="1"/>
      <x:c r="D110" s="1"/>
      <x:c r="E110" s="1"/>
      <x:c r="F110" s="1"/>
      <x:c r="G110" s="1"/>
      <x:c r="H110" s="1"/>
      <x:c r="I110" s="1"/>
      <x:c r="J110" s="1"/>
      <x:c r="K110" s="1"/>
      <x:c r="L110" s="1"/>
      <x:c r="M110" s="1"/>
    </x:row>
    <x:row r="111" ht="19" customHeight="1">
      <x:c r="C111" s="16" t="s">
        <x:v>291</x:v>
      </x:c>
      <x:c r="D111" s="16" t="s">
        <x:v>292</x:v>
      </x:c>
      <x:c r="E111" s="16" t="s">
        <x:v>293</x:v>
      </x:c>
      <x:c r="F111" s="16"/>
      <x:c r="G111" s="16"/>
      <x:c r="H111" s="16"/>
      <x:c r="I111" s="16"/>
      <x:c r="J111" s="16"/>
      <x:c r="K111" s="16"/>
      <x:c r="L111" s="16"/>
      <x:c r="M111" s="16"/>
    </x:row>
    <x:row r="112" ht="19" customHeight="1">
      <x:c r="C112" s="1" t="s">
        <x:v>250</x:v>
      </x:c>
      <x:c r="D112" s="1" t="s">
        <x:v>251</x:v>
      </x:c>
      <x:c r="E112" s="1"/>
      <x:c r="F112" s="1"/>
      <x:c r="G112" s="1"/>
      <x:c r="H112" s="1"/>
      <x:c r="I112" s="1"/>
      <x:c r="J112" s="1"/>
      <x:c r="K112" s="1"/>
      <x:c r="L112" s="1"/>
      <x:c r="M112" s="1"/>
    </x:row>
    <x:row r="113" ht="19" customHeight="1">
      <x:c r="C113" s="1" t="s">
        <x:v>252</x:v>
      </x:c>
      <x:c r="D113" s="1" t="s">
        <x:v>253</x:v>
      </x:c>
      <x:c r="E113" s="1"/>
      <x:c r="F113" s="1"/>
      <x:c r="G113" s="1"/>
      <x:c r="H113" s="1"/>
      <x:c r="I113" s="1"/>
      <x:c r="J113" s="1"/>
      <x:c r="K113" s="1"/>
      <x:c r="L113" s="1"/>
      <x:c r="M113" s="1"/>
    </x:row>
    <x:row r="114" ht="19" customHeight="1">
      <x:c r="C114" s="1"/>
      <x:c r="D114" s="1"/>
      <x:c r="E114" s="1"/>
      <x:c r="F114" s="1"/>
      <x:c r="G114" s="1"/>
      <x:c r="H114" s="1"/>
      <x:c r="I114" s="1"/>
      <x:c r="J114" s="1"/>
      <x:c r="K114" s="1"/>
      <x:c r="L114" s="1"/>
      <x:c r="M114" s="1"/>
    </x:row>
    <x:row r="115" ht="19" customHeight="1">
      <x:c r="C115" s="16" t="s">
        <x:v>294</x:v>
      </x:c>
      <x:c r="D115" s="16" t="s">
        <x:v>295</x:v>
      </x:c>
      <x:c r="E115" s="16" t="s">
        <x:v>296</x:v>
      </x:c>
      <x:c r="F115" s="16"/>
      <x:c r="G115" s="16"/>
      <x:c r="H115" s="16"/>
      <x:c r="I115" s="16"/>
      <x:c r="J115" s="16"/>
      <x:c r="K115" s="16"/>
      <x:c r="L115" s="16"/>
      <x:c r="M115" s="16"/>
    </x:row>
    <x:row r="116" ht="19" customHeight="1">
      <x:c r="C116" s="1" t="s">
        <x:v>250</x:v>
      </x:c>
      <x:c r="D116" s="1" t="s">
        <x:v>297</x:v>
      </x:c>
      <x:c r="E116" s="1"/>
      <x:c r="F116" s="1"/>
      <x:c r="G116" s="1"/>
      <x:c r="H116" s="1"/>
      <x:c r="I116" s="1"/>
      <x:c r="J116" s="1"/>
      <x:c r="K116" s="1"/>
      <x:c r="L116" s="1"/>
      <x:c r="M116" s="1"/>
    </x:row>
    <x:row r="117" ht="19" customHeight="1">
      <x:c r="C117" s="1" t="s">
        <x:v>252</x:v>
      </x:c>
      <x:c r="D117" s="1" t="s">
        <x:v>298</x:v>
      </x:c>
      <x:c r="E117" s="1"/>
      <x:c r="F117" s="1"/>
      <x:c r="G117" s="1"/>
      <x:c r="H117" s="1"/>
      <x:c r="I117" s="1"/>
      <x:c r="J117" s="1"/>
      <x:c r="K117" s="1"/>
      <x:c r="L117" s="1"/>
      <x:c r="M117" s="1"/>
    </x:row>
    <x:row r="118" ht="19" customHeight="1">
      <x:c r="C118" s="1"/>
      <x:c r="D118" s="1"/>
      <x:c r="E118" s="1"/>
      <x:c r="F118" s="1"/>
      <x:c r="G118" s="1"/>
      <x:c r="H118" s="1"/>
      <x:c r="I118" s="1"/>
      <x:c r="J118" s="1"/>
      <x:c r="K118" s="1"/>
      <x:c r="L118" s="1"/>
      <x:c r="M118" s="1"/>
    </x:row>
    <x:row r="119" ht="19" customHeight="1">
      <x:c r="C119" s="16" t="s">
        <x:v>299</x:v>
      </x:c>
      <x:c r="D119" s="16" t="s">
        <x:v>300</x:v>
      </x:c>
      <x:c r="E119" s="16" t="s">
        <x:v>301</x:v>
      </x:c>
      <x:c r="F119" s="16"/>
      <x:c r="G119" s="16"/>
      <x:c r="H119" s="16"/>
      <x:c r="I119" s="16"/>
      <x:c r="J119" s="16"/>
      <x:c r="K119" s="16"/>
      <x:c r="L119" s="16"/>
      <x:c r="M119" s="16"/>
    </x:row>
    <x:row r="120" ht="19" customHeight="1">
      <x:c r="C120" s="1" t="s">
        <x:v>250</x:v>
      </x:c>
      <x:c r="D120" s="1" t="s">
        <x:v>302</x:v>
      </x:c>
      <x:c r="E120" s="1"/>
      <x:c r="F120" s="1"/>
      <x:c r="G120" s="1"/>
      <x:c r="H120" s="1"/>
      <x:c r="I120" s="1"/>
      <x:c r="J120" s="1"/>
      <x:c r="K120" s="1"/>
      <x:c r="L120" s="1"/>
      <x:c r="M120" s="1"/>
    </x:row>
    <x:row r="121" ht="19" customHeight="1">
      <x:c r="C121" s="1" t="s">
        <x:v>252</x:v>
      </x:c>
      <x:c r="D121" s="1" t="s">
        <x:v>253</x:v>
      </x:c>
      <x:c r="E121" s="1"/>
      <x:c r="F121" s="1"/>
      <x:c r="G121" s="1"/>
      <x:c r="H121" s="1"/>
      <x:c r="I121" s="1"/>
      <x:c r="J121" s="1"/>
      <x:c r="K121" s="1"/>
      <x:c r="L121" s="1"/>
      <x:c r="M121" s="1"/>
    </x:row>
    <x:row r="122" ht="19" customHeight="1">
      <x:c r="C122" s="1"/>
      <x:c r="D122" s="1"/>
      <x:c r="E122" s="1"/>
      <x:c r="F122" s="1"/>
      <x:c r="G122" s="1"/>
      <x:c r="H122" s="1"/>
      <x:c r="I122" s="1"/>
      <x:c r="J122" s="1"/>
      <x:c r="K122" s="1"/>
      <x:c r="L122" s="1"/>
      <x:c r="M122" s="1"/>
    </x:row>
    <x:row r="123" ht="19" customHeight="1">
      <x:c r="C123" s="16" t="s">
        <x:v>303</x:v>
      </x:c>
      <x:c r="D123" s="16" t="s">
        <x:v>304</x:v>
      </x:c>
      <x:c r="E123" s="16" t="s">
        <x:v>305</x:v>
      </x:c>
      <x:c r="F123" s="16"/>
      <x:c r="G123" s="16"/>
      <x:c r="H123" s="16"/>
      <x:c r="I123" s="16"/>
      <x:c r="J123" s="16"/>
      <x:c r="K123" s="16"/>
      <x:c r="L123" s="16"/>
      <x:c r="M123" s="16"/>
    </x:row>
    <x:row r="124" ht="19" customHeight="1">
      <x:c r="C124" s="1" t="s">
        <x:v>250</x:v>
      </x:c>
      <x:c r="D124" s="1" t="s">
        <x:v>306</x:v>
      </x:c>
      <x:c r="E124" s="1"/>
      <x:c r="F124" s="1"/>
      <x:c r="G124" s="1"/>
      <x:c r="H124" s="1"/>
      <x:c r="I124" s="1"/>
      <x:c r="J124" s="1"/>
      <x:c r="K124" s="1"/>
      <x:c r="L124" s="1"/>
      <x:c r="M124" s="1"/>
    </x:row>
    <x:row r="125" ht="19" customHeight="1">
      <x:c r="C125" s="1" t="s">
        <x:v>252</x:v>
      </x:c>
      <x:c r="D125" s="1" t="s">
        <x:v>307</x:v>
      </x:c>
      <x:c r="E125" s="1"/>
      <x:c r="F125" s="1"/>
      <x:c r="G125" s="1"/>
      <x:c r="H125" s="1"/>
      <x:c r="I125" s="1"/>
      <x:c r="J125" s="1"/>
      <x:c r="K125" s="1"/>
      <x:c r="L125" s="1"/>
      <x:c r="M125" s="1"/>
    </x:row>
    <x:row r="126" ht="19" customHeight="1">
      <x:c r="C126" s="1"/>
      <x:c r="D126" s="1"/>
      <x:c r="E126" s="1"/>
      <x:c r="F126" s="1"/>
      <x:c r="G126" s="1"/>
      <x:c r="H126" s="1"/>
      <x:c r="I126" s="1"/>
      <x:c r="J126" s="1"/>
      <x:c r="K126" s="1"/>
      <x:c r="L126" s="1"/>
      <x:c r="M126" s="1"/>
    </x:row>
    <x:row r="127" ht="19" customHeight="1">
      <x:c r="C127" s="1"/>
      <x:c r="D127" s="1"/>
      <x:c r="E127" s="1"/>
      <x:c r="F127" s="1"/>
      <x:c r="G127" s="1"/>
      <x:c r="H127" s="1"/>
      <x:c r="I127" s="1"/>
      <x:c r="J127" s="1"/>
      <x:c r="K127" s="1"/>
      <x:c r="L127" s="1"/>
      <x:c r="M127" s="1"/>
    </x:row>
    <x:row r="128" ht="19" customHeight="1">
      <x:c r="C128" s="1"/>
      <x:c r="D128" s="1"/>
      <x:c r="E128" s="1"/>
      <x:c r="F128" s="1"/>
      <x:c r="G128" s="1"/>
      <x:c r="H128" s="1"/>
      <x:c r="I128" s="1"/>
      <x:c r="J128" s="1"/>
      <x:c r="K128" s="1"/>
      <x:c r="L128" s="1"/>
      <x:c r="M128" s="1"/>
    </x:row>
    <x:row r="129" ht="19" customHeight="1">
      <x:c r="C129" s="1"/>
      <x:c r="D129" s="1"/>
      <x:c r="E129" s="1"/>
      <x:c r="F129" s="1"/>
      <x:c r="G129" s="1"/>
      <x:c r="H129" s="1"/>
      <x:c r="I129" s="1"/>
      <x:c r="J129" s="1"/>
      <x:c r="K129" s="1"/>
      <x:c r="L129" s="1"/>
      <x:c r="M129" s="1"/>
    </x:row>
    <x:row r="130" ht="19" customHeight="1">
      <x:c r="C130" s="1"/>
      <x:c r="D130" s="1"/>
      <x:c r="E130" s="1"/>
      <x:c r="F130" s="1"/>
      <x:c r="G130" s="1"/>
      <x:c r="H130" s="1"/>
      <x:c r="I130" s="1"/>
      <x:c r="J130" s="1"/>
      <x:c r="K130" s="1"/>
      <x:c r="L130" s="1"/>
      <x:c r="M130" s="1"/>
    </x:row>
  </x:sheetData>
  <x:pageMargins left="0.7" right="0.7" top="0.75" bottom="0.75" header="0.3" footer="0.3"/>
  <x:drawing xmlns:r="http://schemas.openxmlformats.org/officeDocument/2006/relationships" r:id="R9344a59af4f349a3"/>
  <x:legacyDrawing xmlns:r="http://schemas.openxmlformats.org/officeDocument/2006/relationships" r:id="Rfaeb07bd92904ae3"/>
</x:worksheet>
</file>

<file path=xl/worksheets/sheet5.xml><?xml version="1.0" encoding="utf-8"?>
<x:worksheet xmlns:x="http://schemas.openxmlformats.org/spreadsheetml/2006/main">
  <x:sheetPr>
    <x:tabColor rgb="FF96A3AF"/>
  </x:sheetPr>
  <x:sheetViews>
    <x:sheetView showGridLines="0" workbookViewId="0">
      <x:pane xSplit="3" ySplit="8" topLeftCell="D9" activePane="bottomRight" state="frozen"/>
    </x:sheetView>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308</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t="s">
        <x:v>309</x:v>
      </x:c>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19" customHeight="1">
      <x:c r="A7" s="2"/>
      <x:c r="B7" s="2"/>
      <x:c r="C7" s="11" t="s">
        <x:v>310</x:v>
      </x:c>
      <x:c r="D7" s="12"/>
      <x:c r="E7" s="12"/>
      <x:c r="F7" s="12"/>
      <x:c r="G7" s="12"/>
      <x:c r="H7" s="12"/>
      <x:c r="I7" s="12"/>
      <x:c r="J7" s="12"/>
      <x:c r="K7" s="12"/>
      <x:c r="L7" s="12"/>
      <x:c r="M7" s="12"/>
      <x:c r="N7" s="12"/>
      <x:c r="O7" s="12"/>
      <x:c r="P7" s="12"/>
      <x:c r="Q7" s="12"/>
      <x:c r="R7" s="3"/>
      <x:c r="S7" s="3"/>
      <x:c r="T7" s="3"/>
      <x:c r="U7" s="3"/>
      <x:c r="V7" s="3"/>
      <x:c r="W7" s="3"/>
    </x:row>
    <x:row r="8" ht="19" customHeight="1">
      <x:c r="A8" s="2"/>
      <x:c r="B8" s="2"/>
      <x:c r="C8" s="2"/>
      <x:c r="D8" s="3" t="s">
        <x:v>62</x:v>
      </x:c>
      <x:c r="E8" s="3" t="s">
        <x:v>63</x:v>
      </x:c>
      <x:c r="F8" s="3" t="s">
        <x:v>64</x:v>
      </x:c>
      <x:c r="G8" s="3" t="s">
        <x:v>65</x:v>
      </x:c>
      <x:c r="H8" s="3" t="s">
        <x:v>66</x:v>
      </x:c>
      <x:c r="I8" s="3" t="s">
        <x:v>67</x:v>
      </x:c>
      <x:c r="J8" s="3" t="s">
        <x:v>68</x:v>
      </x:c>
      <x:c r="K8" s="3" t="s">
        <x:v>69</x:v>
      </x:c>
      <x:c r="L8" s="3" t="s">
        <x:v>70</x:v>
      </x:c>
      <x:c r="M8" s="3" t="s">
        <x:v>71</x:v>
      </x:c>
      <x:c r="N8" s="3" t="s">
        <x:v>72</x:v>
      </x:c>
      <x:c r="O8" s="3" t="s">
        <x:v>73</x:v>
      </x:c>
      <x:c r="P8" s="3" t="s">
        <x:v>74</x:v>
      </x:c>
      <x:c r="Q8" s="3" t="s">
        <x:v>75</x:v>
      </x:c>
      <x:c r="R8" s="3"/>
      <x:c r="S8" s="3"/>
      <x:c r="T8" s="3"/>
      <x:c r="U8" s="3"/>
      <x:c r="V8" s="3"/>
      <x:c r="W8" s="3"/>
    </x:row>
    <x:row r="9" ht="19" customHeight="1">
      <x:c r="A9" s="2"/>
      <x:c r="B9" s="2"/>
      <x:c r="C9" s="2" t="s">
        <x:v>311</x:v>
      </x:c>
      <x:c r="D9" s="56" t="n">
        <x:f>ROUND('Fee engine'!D17-Disclosures!D13,8)</x:f>
        <x:v>0</x:v>
      </x:c>
      <x:c r="E9" s="56" t="n">
        <x:f>ROUND('Fee engine'!E17-Disclosures!E13,8)</x:f>
        <x:v>0</x:v>
      </x:c>
      <x:c r="F9" s="56" t="n">
        <x:f>ROUND('Fee engine'!F17-Disclosures!F13,8)</x:f>
        <x:v>0</x:v>
      </x:c>
      <x:c r="G9" s="56" t="n">
        <x:f>ROUND('Fee engine'!G17-Disclosures!G13,8)</x:f>
        <x:v>0</x:v>
      </x:c>
      <x:c r="H9" s="56" t="n">
        <x:f>ROUND('Fee engine'!H17-Disclosures!H13,8)</x:f>
        <x:v>0</x:v>
      </x:c>
      <x:c r="I9" s="56" t="n">
        <x:f>ROUND('Fee engine'!I17-Disclosures!I13,8)</x:f>
        <x:v>0</x:v>
      </x:c>
      <x:c r="J9" s="56" t="n">
        <x:f>ROUND('Fee engine'!J17-Disclosures!J13,8)</x:f>
        <x:v>0</x:v>
      </x:c>
      <x:c r="K9" s="56" t="n">
        <x:f>ROUND('Fee engine'!K17-Disclosures!K13,8)</x:f>
        <x:v>0</x:v>
      </x:c>
      <x:c r="L9" s="56" t="n">
        <x:f>ROUND('Fee engine'!L17-Disclosures!L13,8)</x:f>
        <x:v>0</x:v>
      </x:c>
      <x:c r="M9" s="56" t="n">
        <x:f>ROUND('Fee engine'!M17-Disclosures!M13,8)</x:f>
        <x:v>0</x:v>
      </x:c>
      <x:c r="N9" s="56" t="n">
        <x:f>ROUND('Fee engine'!N17-Disclosures!N13,8)</x:f>
        <x:v>0</x:v>
      </x:c>
      <x:c r="O9" s="56" t="n">
        <x:f>ROUND('Fee engine'!O17-Disclosures!O13,8)</x:f>
        <x:v>0</x:v>
      </x:c>
      <x:c r="P9" s="56" t="n">
        <x:f>ROUND('Fee engine'!P17-Disclosures!P13,8)</x:f>
        <x:v>0</x:v>
      </x:c>
      <x:c r="Q9" s="56" t="n">
        <x:f>ROUND('Fee engine'!Q17-Disclosures!Q13,8)</x:f>
        <x:v>0</x:v>
      </x:c>
      <x:c r="R9" s="3"/>
      <x:c r="S9" s="3"/>
      <x:c r="T9" s="3"/>
      <x:c r="U9" s="3"/>
      <x:c r="V9" s="3"/>
      <x:c r="W9" s="3"/>
    </x:row>
    <x:row r="10" ht="19" customHeight="1">
      <x:c r="A10" s="2"/>
      <x:c r="B10" s="2"/>
      <x:c r="C10" s="2" t="s">
        <x:v>312</x:v>
      </x:c>
      <x:c r="D10" s="56" t="n">
        <x:f>ROUND(SUM('Fee engine'!D13:D16)-Disclosures!D12,8)</x:f>
        <x:v>0</x:v>
      </x:c>
      <x:c r="E10" s="56" t="n">
        <x:f>ROUND(SUM('Fee engine'!E13:E16)-Disclosures!E12,8)</x:f>
        <x:v>0</x:v>
      </x:c>
      <x:c r="F10" s="56" t="n">
        <x:f>ROUND(SUM('Fee engine'!F13:F16)-Disclosures!F12,8)</x:f>
        <x:v>0</x:v>
      </x:c>
      <x:c r="G10" s="56" t="n">
        <x:f>ROUND(SUM('Fee engine'!G13:G16)-Disclosures!G12,8)</x:f>
        <x:v>0</x:v>
      </x:c>
      <x:c r="H10" s="56" t="n">
        <x:f>ROUND(SUM('Fee engine'!H13:H16)-Disclosures!H12,8)</x:f>
        <x:v>0</x:v>
      </x:c>
      <x:c r="I10" s="56" t="n">
        <x:f>ROUND(SUM('Fee engine'!I13:I16)-Disclosures!I12,8)</x:f>
        <x:v>0</x:v>
      </x:c>
      <x:c r="J10" s="56" t="n">
        <x:f>ROUND(SUM('Fee engine'!J13:J16)-Disclosures!J12,8)</x:f>
        <x:v>0</x:v>
      </x:c>
      <x:c r="K10" s="56" t="n">
        <x:f>ROUND(SUM('Fee engine'!K13:K16)-Disclosures!K12,8)</x:f>
        <x:v>0</x:v>
      </x:c>
      <x:c r="L10" s="56" t="n">
        <x:f>ROUND(SUM('Fee engine'!L13:L16)-Disclosures!L12,8)</x:f>
        <x:v>0</x:v>
      </x:c>
      <x:c r="M10" s="56" t="n">
        <x:f>ROUND(SUM('Fee engine'!M13:M16)-Disclosures!M12,8)</x:f>
        <x:v>0</x:v>
      </x:c>
      <x:c r="N10" s="56" t="n">
        <x:f>ROUND(SUM('Fee engine'!N13:N16)-Disclosures!N12,8)</x:f>
        <x:v>0</x:v>
      </x:c>
      <x:c r="O10" s="56" t="n">
        <x:f>ROUND(SUM('Fee engine'!O13:O16)-Disclosures!O12,8)</x:f>
        <x:v>0</x:v>
      </x:c>
      <x:c r="P10" s="56" t="n">
        <x:f>ROUND(SUM('Fee engine'!P13:P16)-Disclosures!P12,8)</x:f>
        <x:v>0</x:v>
      </x:c>
      <x:c r="Q10" s="56" t="n">
        <x:f>ROUND(SUM('Fee engine'!Q13:Q16)-Disclosures!Q12,8)</x:f>
        <x:v>0</x:v>
      </x:c>
      <x:c r="R10" s="3"/>
      <x:c r="S10" s="3"/>
      <x:c r="T10" s="3"/>
      <x:c r="U10" s="3"/>
      <x:c r="V10" s="3"/>
      <x:c r="W10" s="3"/>
    </x:row>
    <x:row r="11" ht="19" customHeight="1">
      <x:c r="A11" s="2"/>
      <x:c r="B11" s="2"/>
      <x:c r="C11" s="2"/>
      <x:c r="D11" s="3"/>
      <x:c r="E11" s="3"/>
      <x:c r="F11" s="3"/>
      <x:c r="G11" s="3"/>
      <x:c r="H11" s="3"/>
      <x:c r="I11" s="3"/>
      <x:c r="J11" s="3"/>
      <x:c r="K11" s="3"/>
      <x:c r="L11" s="3"/>
      <x:c r="M11" s="3"/>
      <x:c r="N11" s="3"/>
      <x:c r="O11" s="3"/>
      <x:c r="P11" s="3"/>
      <x:c r="Q11" s="3"/>
      <x:c r="R11" s="3"/>
      <x:c r="S11" s="3"/>
      <x:c r="T11" s="3"/>
      <x:c r="U11" s="3"/>
      <x:c r="V11" s="3"/>
      <x:c r="W11" s="3"/>
    </x:row>
    <x:row r="12" ht="19" customHeight="1">
      <x:c r="A12" s="2"/>
      <x:c r="B12" s="2"/>
      <x:c r="C12" s="2"/>
      <x:c r="D12" s="3"/>
      <x:c r="E12" s="3"/>
      <x:c r="F12" s="3"/>
      <x:c r="G12" s="3"/>
      <x:c r="H12" s="3"/>
      <x:c r="I12" s="3"/>
      <x:c r="J12" s="3"/>
      <x:c r="K12" s="3"/>
      <x:c r="L12" s="3"/>
      <x:c r="M12" s="3"/>
      <x:c r="N12" s="3"/>
      <x:c r="O12" s="3"/>
      <x:c r="P12" s="3"/>
      <x:c r="Q12" s="3"/>
      <x:c r="R12" s="3"/>
      <x:c r="S12" s="3"/>
      <x:c r="T12" s="3"/>
      <x:c r="U12" s="3"/>
      <x:c r="V12" s="3"/>
      <x:c r="W12" s="3"/>
    </x:row>
    <x:row r="13" ht="19" customHeight="1">
      <x:c r="A13" s="2"/>
      <x:c r="B13" s="2"/>
      <x:c r="C13" s="11" t="s">
        <x:v>313</x:v>
      </x:c>
      <x:c r="D13" s="12"/>
      <x:c r="E13" s="12"/>
      <x:c r="F13" s="12"/>
      <x:c r="G13" s="12"/>
      <x:c r="H13" s="12"/>
      <x:c r="I13" s="12"/>
      <x:c r="J13" s="12"/>
      <x:c r="K13" s="3"/>
      <x:c r="L13" s="3"/>
      <x:c r="M13" s="3"/>
      <x:c r="N13" s="3"/>
      <x:c r="O13" s="3"/>
      <x:c r="P13" s="3"/>
      <x:c r="Q13" s="3"/>
      <x:c r="R13" s="3"/>
      <x:c r="S13" s="3"/>
      <x:c r="T13" s="3"/>
      <x:c r="U13" s="3"/>
      <x:c r="V13" s="3"/>
      <x:c r="W13" s="3"/>
    </x:row>
    <x:row r="14" ht="19" customHeight="1">
      <x:c r="A14" s="2"/>
      <x:c r="B14" s="2"/>
      <x:c r="C14" s="2"/>
      <x:c r="D14" s="3" t="s">
        <x:v>3</x:v>
      </x:c>
      <x:c r="E14" s="3" t="s">
        <x:v>4</x:v>
      </x:c>
      <x:c r="F14" s="3" t="s">
        <x:v>5</x:v>
      </x:c>
      <x:c r="G14" s="3" t="s">
        <x:v>6</x:v>
      </x:c>
      <x:c r="H14" s="3" t="s">
        <x:v>7</x:v>
      </x:c>
      <x:c r="I14" s="3" t="s">
        <x:v>8</x:v>
      </x:c>
      <x:c r="J14" s="3" t="s">
        <x:v>9</x:v>
      </x:c>
      <x:c r="K14" s="3"/>
      <x:c r="L14" s="3"/>
      <x:c r="M14" s="3"/>
      <x:c r="N14" s="3"/>
      <x:c r="O14" s="3"/>
      <x:c r="P14" s="3"/>
      <x:c r="Q14" s="3"/>
      <x:c r="R14" s="3"/>
      <x:c r="S14" s="3"/>
      <x:c r="T14" s="3"/>
      <x:c r="U14" s="3"/>
      <x:c r="V14" s="3"/>
      <x:c r="W14" s="3"/>
    </x:row>
    <x:row r="15" ht="19" customHeight="1">
      <x:c r="A15" s="2"/>
      <x:c r="B15" s="2"/>
      <x:c r="C15" s="2" t="s">
        <x:v>138</x:v>
      </x:c>
      <x:c r="D15" s="56" t="n">
        <x:f>ROUND('Fee engine'!D95-Disclosures!D22,8)</x:f>
        <x:v>0</x:v>
      </x:c>
      <x:c r="E15" s="56" t="n">
        <x:f>ROUND('Fee engine'!E95-Disclosures!E22,8)</x:f>
        <x:v>0</x:v>
      </x:c>
      <x:c r="F15" s="56" t="n">
        <x:f>ROUND('Fee engine'!F95-Disclosures!F22,8)</x:f>
        <x:v>0</x:v>
      </x:c>
      <x:c r="G15" s="56" t="n">
        <x:f>ROUND('Fee engine'!G95-Disclosures!G22,8)</x:f>
        <x:v>0</x:v>
      </x:c>
      <x:c r="H15" s="56" t="n">
        <x:f>ROUND('Fee engine'!H95-Disclosures!H22,8)</x:f>
        <x:v>0</x:v>
      </x:c>
      <x:c r="I15" s="56" t="n">
        <x:f>ROUND('Fee engine'!I95-Disclosures!I22,8)</x:f>
        <x:v>0</x:v>
      </x:c>
      <x:c r="J15" s="56" t="n">
        <x:f>ROUND('Fee engine'!J95-Disclosures!J22,8)</x:f>
        <x:v>0</x:v>
      </x:c>
      <x:c r="K15" s="3"/>
      <x:c r="L15" s="3"/>
      <x:c r="M15" s="3"/>
      <x:c r="N15" s="3"/>
      <x:c r="O15" s="3"/>
      <x:c r="P15" s="3"/>
      <x:c r="Q15" s="3"/>
      <x:c r="R15" s="3"/>
      <x:c r="S15" s="3"/>
      <x:c r="T15" s="3"/>
      <x:c r="U15" s="3"/>
      <x:c r="V15" s="3"/>
      <x:c r="W15" s="3"/>
    </x:row>
    <x:row r="16" ht="19" customHeight="1">
      <x:c r="A16" s="2"/>
      <x:c r="B16" s="2"/>
      <x:c r="C16" s="2" t="s">
        <x:v>38</x:v>
      </x:c>
      <x:c r="D16" s="56" t="n">
        <x:f>ROUND('Fee engine'!D96-Disclosures!D23,8)</x:f>
        <x:v>0</x:v>
      </x:c>
      <x:c r="E16" s="56" t="n">
        <x:f>ROUND('Fee engine'!E96-Disclosures!E23,8)</x:f>
        <x:v>0</x:v>
      </x:c>
      <x:c r="F16" s="56" t="n">
        <x:f>ROUND('Fee engine'!F96-Disclosures!F23,8)</x:f>
        <x:v>0</x:v>
      </x:c>
      <x:c r="G16" s="56" t="n">
        <x:f>ROUND('Fee engine'!G96-Disclosures!G23,8)</x:f>
        <x:v>0</x:v>
      </x:c>
      <x:c r="H16" s="56" t="n">
        <x:f>ROUND('Fee engine'!H96-Disclosures!H23,8)</x:f>
        <x:v>0</x:v>
      </x:c>
      <x:c r="I16" s="56" t="n">
        <x:f>ROUND('Fee engine'!I96-Disclosures!I23,8)</x:f>
        <x:v>0</x:v>
      </x:c>
      <x:c r="J16" s="56" t="n">
        <x:f>ROUND('Fee engine'!J96-Disclosures!J23,8)</x:f>
        <x:v>0</x:v>
      </x:c>
      <x:c r="K16" s="3"/>
      <x:c r="L16" s="3"/>
      <x:c r="M16" s="3"/>
      <x:c r="N16" s="3"/>
      <x:c r="O16" s="3"/>
      <x:c r="P16" s="3"/>
      <x:c r="Q16" s="3"/>
      <x:c r="R16" s="3"/>
      <x:c r="S16" s="3"/>
      <x:c r="T16" s="3"/>
      <x:c r="U16" s="3"/>
      <x:c r="V16" s="3"/>
      <x:c r="W16" s="3"/>
    </x:row>
    <x:row r="17" ht="19" customHeight="1">
      <x:c r="A17" s="2"/>
      <x:c r="B17" s="2"/>
      <x:c r="C17" s="2" t="s">
        <x:v>314</x:v>
      </x:c>
      <x:c r="D17" s="56" t="n">
        <x:f>ROUND('Fee engine'!D97-Disclosures!D24,8)</x:f>
        <x:v>0</x:v>
      </x:c>
      <x:c r="E17" s="56" t="n">
        <x:f>ROUND('Fee engine'!E97-Disclosures!E24,8)</x:f>
        <x:v>0</x:v>
      </x:c>
      <x:c r="F17" s="56" t="n">
        <x:f>ROUND('Fee engine'!F97-Disclosures!F24,8)</x:f>
        <x:v>0</x:v>
      </x:c>
      <x:c r="G17" s="56" t="n">
        <x:f>ROUND('Fee engine'!G97-Disclosures!G24,8)</x:f>
        <x:v>0</x:v>
      </x:c>
      <x:c r="H17" s="56" t="n">
        <x:f>ROUND('Fee engine'!H97-Disclosures!H24,8)</x:f>
        <x:v>0</x:v>
      </x:c>
      <x:c r="I17" s="56" t="n">
        <x:f>ROUND('Fee engine'!I97-Disclosures!I24,8)</x:f>
        <x:v>0</x:v>
      </x:c>
      <x:c r="J17" s="56" t="n">
        <x:f>ROUND('Fee engine'!J97-Disclosures!J24,8)</x:f>
        <x:v>0</x:v>
      </x:c>
      <x:c r="K17" s="3"/>
      <x:c r="L17" s="3"/>
      <x:c r="M17" s="3"/>
      <x:c r="N17" s="3"/>
      <x:c r="O17" s="3"/>
      <x:c r="P17" s="3"/>
      <x:c r="Q17" s="3"/>
      <x:c r="R17" s="3"/>
      <x:c r="S17" s="3"/>
      <x:c r="T17" s="3"/>
      <x:c r="U17" s="3"/>
      <x:c r="V17" s="3"/>
      <x:c r="W17" s="3"/>
    </x:row>
    <x:row r="18" ht="19" customHeight="1">
      <x:c r="A18" s="2"/>
      <x:c r="B18" s="2"/>
      <x:c r="C18" s="2" t="s">
        <x:v>141</x:v>
      </x:c>
      <x:c r="D18" s="56" t="n">
        <x:f>ROUND('Fee engine'!D98-Disclosures!D25,8)</x:f>
        <x:v>0</x:v>
      </x:c>
      <x:c r="E18" s="56" t="n">
        <x:f>ROUND('Fee engine'!E98-Disclosures!E25,8)</x:f>
        <x:v>0</x:v>
      </x:c>
      <x:c r="F18" s="56" t="n">
        <x:f>ROUND('Fee engine'!F98-Disclosures!F25,8)</x:f>
        <x:v>0</x:v>
      </x:c>
      <x:c r="G18" s="56" t="n">
        <x:f>ROUND('Fee engine'!G98-Disclosures!G25,8)</x:f>
        <x:v>0</x:v>
      </x:c>
      <x:c r="H18" s="56" t="n">
        <x:f>ROUND('Fee engine'!H98-Disclosures!H25,8)</x:f>
        <x:v>0</x:v>
      </x:c>
      <x:c r="I18" s="56" t="n">
        <x:f>ROUND('Fee engine'!I98-Disclosures!I25,8)</x:f>
        <x:v>0</x:v>
      </x:c>
      <x:c r="J18" s="56" t="n">
        <x:f>ROUND('Fee engine'!J98-Disclosures!J25,8)</x:f>
        <x:v>0</x:v>
      </x:c>
      <x:c r="K18" s="3"/>
      <x:c r="L18" s="3"/>
      <x:c r="M18" s="3"/>
      <x:c r="N18" s="3"/>
      <x:c r="O18" s="3"/>
      <x:c r="P18" s="3"/>
      <x:c r="Q18" s="3"/>
      <x:c r="R18" s="3"/>
      <x:c r="S18" s="3"/>
      <x:c r="T18" s="3"/>
      <x:c r="U18" s="3"/>
      <x:c r="V18" s="3"/>
      <x:c r="W18" s="3"/>
    </x:row>
    <x:row r="19" ht="19" customHeight="1">
      <x:c r="A19" s="2"/>
      <x:c r="B19" s="2"/>
      <x:c r="C19" s="2" t="s">
        <x:v>315</x:v>
      </x:c>
      <x:c r="D19" s="56" t="n">
        <x:f>ROUND('Fee engine'!D102-Disclosures!D36,8)</x:f>
        <x:v>0</x:v>
      </x:c>
      <x:c r="E19" s="56" t="n">
        <x:f>ROUND('Fee engine'!E102-Disclosures!E36,8)</x:f>
        <x:v>0</x:v>
      </x:c>
      <x:c r="F19" s="56" t="n">
        <x:f>ROUND('Fee engine'!F102-Disclosures!F36,8)</x:f>
        <x:v>0</x:v>
      </x:c>
      <x:c r="G19" s="56" t="n">
        <x:f>ROUND('Fee engine'!G102-Disclosures!G36,8)</x:f>
        <x:v>0</x:v>
      </x:c>
      <x:c r="H19" s="56" t="n">
        <x:f>ROUND('Fee engine'!H102-Disclosures!H36,8)</x:f>
        <x:v>0</x:v>
      </x:c>
      <x:c r="I19" s="56" t="n">
        <x:f>ROUND('Fee engine'!I102-Disclosures!I36,8)</x:f>
        <x:v>0</x:v>
      </x:c>
      <x:c r="J19" s="56" t="n">
        <x:f>ROUND('Fee engine'!J102-Disclosures!J36,8)</x:f>
        <x:v>0</x:v>
      </x:c>
      <x:c r="K19" s="3"/>
      <x:c r="L19" s="3"/>
      <x:c r="M19" s="3"/>
      <x:c r="N19" s="3"/>
      <x:c r="O19" s="3"/>
      <x:c r="P19" s="3"/>
      <x:c r="Q19" s="3"/>
      <x:c r="R19" s="3"/>
      <x:c r="S19" s="3"/>
      <x:c r="T19" s="3"/>
      <x:c r="U19" s="3"/>
      <x:c r="V19" s="3"/>
      <x:c r="W19" s="3"/>
    </x:row>
    <x:row r="20" ht="19" customHeight="1">
      <x:c r="A20" s="2"/>
      <x:c r="B20" s="2"/>
      <x:c r="C20" s="2" t="s">
        <x:v>316</x:v>
      </x:c>
      <x:c r="D20" s="56" t="n">
        <x:f>ROUND('Fee engine'!D103-Disclosures!D37,8)</x:f>
        <x:v>0</x:v>
      </x:c>
      <x:c r="E20" s="56" t="n">
        <x:f>ROUND('Fee engine'!E103-Disclosures!E37,8)</x:f>
        <x:v>0</x:v>
      </x:c>
      <x:c r="F20" s="56" t="n">
        <x:f>ROUND('Fee engine'!F103-Disclosures!F37,8)</x:f>
        <x:v>0</x:v>
      </x:c>
      <x:c r="G20" s="56" t="n">
        <x:f>ROUND('Fee engine'!G103-Disclosures!G37,8)</x:f>
        <x:v>0</x:v>
      </x:c>
      <x:c r="H20" s="56" t="n">
        <x:f>ROUND('Fee engine'!H103-Disclosures!H37,8)</x:f>
        <x:v>0</x:v>
      </x:c>
      <x:c r="I20" s="56" t="n">
        <x:f>ROUND('Fee engine'!I103-Disclosures!I37,8)</x:f>
        <x:v>0</x:v>
      </x:c>
      <x:c r="J20" s="56" t="n">
        <x:f>ROUND('Fee engine'!J103-Disclosures!J37,8)</x:f>
        <x:v>0</x:v>
      </x:c>
      <x:c r="K20" s="3"/>
      <x:c r="L20" s="3"/>
      <x:c r="M20" s="3"/>
      <x:c r="N20" s="3"/>
      <x:c r="O20" s="3"/>
      <x:c r="P20" s="3"/>
      <x:c r="Q20" s="3"/>
      <x:c r="R20" s="3"/>
      <x:c r="S20" s="3"/>
      <x:c r="T20" s="3"/>
      <x:c r="U20" s="3"/>
      <x:c r="V20" s="3"/>
      <x:c r="W20" s="3"/>
    </x:row>
    <x:row r="21" ht="19" customHeight="1">
      <x:c r="A21" s="2"/>
      <x:c r="B21" s="2"/>
      <x:c r="C21" s="2" t="s">
        <x:v>317</x:v>
      </x:c>
      <x:c r="D21" s="56" t="n">
        <x:f>ROUND('Fee engine'!D104-Disclosures!D38,8)</x:f>
        <x:v>0</x:v>
      </x:c>
      <x:c r="E21" s="56" t="n">
        <x:f>ROUND('Fee engine'!E104-Disclosures!E38,8)</x:f>
        <x:v>0</x:v>
      </x:c>
      <x:c r="F21" s="56" t="n">
        <x:f>ROUND('Fee engine'!F104-Disclosures!F38,8)</x:f>
        <x:v>0</x:v>
      </x:c>
      <x:c r="G21" s="56" t="n">
        <x:f>ROUND('Fee engine'!G104-Disclosures!G38,8)</x:f>
        <x:v>0</x:v>
      </x:c>
      <x:c r="H21" s="56" t="n">
        <x:f>ROUND('Fee engine'!H104-Disclosures!H38,8)</x:f>
        <x:v>0</x:v>
      </x:c>
      <x:c r="I21" s="56" t="n">
        <x:f>ROUND('Fee engine'!I104-Disclosures!I38,8)</x:f>
        <x:v>0</x:v>
      </x:c>
      <x:c r="J21" s="56" t="n">
        <x:f>ROUND('Fee engine'!J104-Disclosures!J38,8)</x:f>
        <x:v>0</x:v>
      </x:c>
      <x:c r="K21" s="3"/>
      <x:c r="L21" s="3"/>
      <x:c r="M21" s="3"/>
      <x:c r="N21" s="3"/>
      <x:c r="O21" s="3"/>
      <x:c r="P21" s="3"/>
      <x:c r="Q21" s="3"/>
      <x:c r="R21" s="3"/>
      <x:c r="S21" s="3"/>
      <x:c r="T21" s="3"/>
      <x:c r="U21" s="3"/>
      <x:c r="V21" s="3"/>
      <x:c r="W21" s="3"/>
    </x:row>
    <x:row r="22" ht="19" customHeight="1">
      <x:c r="A22" s="2"/>
      <x:c r="B22" s="2"/>
      <x:c r="C22" s="2" t="s">
        <x:v>163</x:v>
      </x:c>
      <x:c r="D22" s="56" t="n">
        <x:f>ROUND(-'Fee engine'!D105-Disclosures!D39,8)</x:f>
        <x:v>0</x:v>
      </x:c>
      <x:c r="E22" s="56" t="n">
        <x:f>ROUND(-'Fee engine'!E105-Disclosures!E39,8)</x:f>
        <x:v>0</x:v>
      </x:c>
      <x:c r="F22" s="56" t="n">
        <x:f>ROUND(-'Fee engine'!F105-Disclosures!F39,8)</x:f>
        <x:v>0</x:v>
      </x:c>
      <x:c r="G22" s="56" t="n">
        <x:f>ROUND(-'Fee engine'!G105-Disclosures!G39,8)</x:f>
        <x:v>0</x:v>
      </x:c>
      <x:c r="H22" s="56" t="n">
        <x:f>ROUND(-'Fee engine'!H105-Disclosures!H39,8)</x:f>
        <x:v>0</x:v>
      </x:c>
      <x:c r="I22" s="56" t="n">
        <x:f>ROUND(-'Fee engine'!I105-Disclosures!I39,8)</x:f>
        <x:v>0</x:v>
      </x:c>
      <x:c r="J22" s="56" t="n">
        <x:f>ROUND(-'Fee engine'!J105-Disclosures!J39,8)</x:f>
        <x:v>0</x:v>
      </x:c>
      <x:c r="K22" s="3"/>
      <x:c r="L22" s="3"/>
      <x:c r="M22" s="3"/>
      <x:c r="N22" s="3"/>
      <x:c r="O22" s="3"/>
      <x:c r="P22" s="3"/>
      <x:c r="Q22" s="3"/>
      <x:c r="R22" s="3"/>
      <x:c r="S22" s="3"/>
      <x:c r="T22" s="3"/>
      <x:c r="U22" s="3"/>
      <x:c r="V22" s="3"/>
      <x:c r="W22" s="3"/>
    </x:row>
    <x:row r="23" ht="19" customHeight="1">
      <x:c r="A23" s="2"/>
      <x:c r="B23" s="2"/>
      <x:c r="C23" s="2" t="s">
        <x:v>164</x:v>
      </x:c>
      <x:c r="D23" s="56" t="n">
        <x:f>ROUND('Fee engine'!D106-Disclosures!D40,8)</x:f>
        <x:v>0</x:v>
      </x:c>
      <x:c r="E23" s="56" t="n">
        <x:f>ROUND('Fee engine'!E106-Disclosures!E40,8)</x:f>
        <x:v>0</x:v>
      </x:c>
      <x:c r="F23" s="56" t="n">
        <x:f>ROUND('Fee engine'!F106-Disclosures!F40,8)</x:f>
        <x:v>0</x:v>
      </x:c>
      <x:c r="G23" s="56" t="n">
        <x:f>ROUND('Fee engine'!G106-Disclosures!G40,8)</x:f>
        <x:v>0</x:v>
      </x:c>
      <x:c r="H23" s="56" t="n">
        <x:f>ROUND('Fee engine'!H106-Disclosures!H40,8)</x:f>
        <x:v>0</x:v>
      </x:c>
      <x:c r="I23" s="56" t="n">
        <x:f>ROUND('Fee engine'!I106-Disclosures!I40,8)</x:f>
        <x:v>0</x:v>
      </x:c>
      <x:c r="J23" s="56" t="n">
        <x:f>ROUND('Fee engine'!J106-Disclosures!J40,8)</x:f>
        <x:v>0</x:v>
      </x:c>
      <x:c r="K23" s="3"/>
      <x:c r="L23" s="3"/>
      <x:c r="M23" s="3"/>
      <x:c r="N23" s="3"/>
      <x:c r="O23" s="3"/>
      <x:c r="P23" s="3"/>
      <x:c r="Q23" s="3"/>
      <x:c r="R23" s="3"/>
      <x:c r="S23" s="3"/>
      <x:c r="T23" s="3"/>
      <x:c r="U23" s="3"/>
      <x:c r="V23" s="3"/>
      <x:c r="W23" s="3"/>
    </x:row>
    <x:row r="24" ht="19" customHeight="1">
      <x:c r="A24" s="2"/>
      <x:c r="B24" s="2"/>
      <x:c r="C24" s="2" t="s">
        <x:v>318</x:v>
      </x:c>
      <x:c r="D24" s="56" t="n">
        <x:f>ROUND('Fee engine'!D107-Disclosures!D41,8)</x:f>
        <x:v>0</x:v>
      </x:c>
      <x:c r="E24" s="56" t="n">
        <x:f>ROUND('Fee engine'!E107-Disclosures!E41,8)</x:f>
        <x:v>0</x:v>
      </x:c>
      <x:c r="F24" s="56" t="n">
        <x:f>ROUND('Fee engine'!F107-Disclosures!F41,8)</x:f>
        <x:v>0</x:v>
      </x:c>
      <x:c r="G24" s="56" t="n">
        <x:f>ROUND('Fee engine'!G107-Disclosures!G41,8)</x:f>
        <x:v>0</x:v>
      </x:c>
      <x:c r="H24" s="56" t="n">
        <x:f>ROUND('Fee engine'!H107-Disclosures!H41,8)</x:f>
        <x:v>0</x:v>
      </x:c>
      <x:c r="I24" s="56" t="n">
        <x:f>ROUND('Fee engine'!I107-Disclosures!I41,8)</x:f>
        <x:v>0</x:v>
      </x:c>
      <x:c r="J24" s="56" t="n">
        <x:f>ROUND('Fee engine'!J107-Disclosures!J41,8)</x:f>
        <x:v>0</x:v>
      </x:c>
      <x:c r="K24" s="3"/>
      <x:c r="L24" s="3"/>
      <x:c r="M24" s="3"/>
      <x:c r="N24" s="3"/>
      <x:c r="O24" s="3"/>
      <x:c r="P24" s="3"/>
      <x:c r="Q24" s="3"/>
      <x:c r="R24" s="3"/>
      <x:c r="S24" s="3"/>
      <x:c r="T24" s="3"/>
      <x:c r="U24" s="3"/>
      <x:c r="V24" s="3"/>
      <x:c r="W24" s="3"/>
    </x:row>
    <x:row r="25" ht="19" customHeight="1">
      <x:c r="A25" s="2"/>
      <x:c r="B25" s="2"/>
      <x:c r="C25" s="2" t="s">
        <x:v>319</x:v>
      </x:c>
      <x:c r="D25" s="56" t="n">
        <x:f>ROUND('Fee engine'!D108-Disclosures!D42,8)</x:f>
        <x:v>-0.02571898</x:v>
      </x:c>
      <x:c r="E25" s="56" t="n">
        <x:f>ROUND('Fee engine'!E108-Disclosures!E42,8)</x:f>
        <x:v>0.05132995</x:v>
      </x:c>
      <x:c r="F25" s="56" t="n">
        <x:f>ROUND('Fee engine'!F108-Disclosures!F42,8)</x:f>
        <x:v>0.01409396</x:v>
      </x:c>
      <x:c r="G25" s="56" t="n">
        <x:f>ROUND('Fee engine'!G108-Disclosures!G42,8)</x:f>
        <x:v>-0.05830967</x:v>
      </x:c>
      <x:c r="H25" s="56" t="n">
        <x:f>ROUND('Fee engine'!H108-Disclosures!H42,8)</x:f>
        <x:v>-0.02534247</x:v>
      </x:c>
      <x:c r="I25" s="56" t="n">
        <x:f>ROUND('Fee engine'!I108-Disclosures!I42,8)</x:f>
        <x:v>-0.04345123</x:v>
      </x:c>
      <x:c r="J25" s="56" t="n">
        <x:f>ROUND('Fee engine'!J108-Disclosures!J42,8)</x:f>
        <x:v>0.04796184</x:v>
      </x:c>
      <x:c r="K25" s="3"/>
      <x:c r="L25" s="3"/>
      <x:c r="M25" s="3"/>
      <x:c r="N25" s="3"/>
      <x:c r="O25" s="3"/>
      <x:c r="P25" s="3"/>
      <x:c r="Q25" s="3"/>
      <x:c r="R25" s="3"/>
      <x:c r="S25" s="3"/>
      <x:c r="T25" s="3"/>
      <x:c r="U25" s="3"/>
      <x:c r="V25" s="3"/>
      <x:c r="W25" s="3"/>
    </x:row>
    <x:row r="26" ht="19" customHeight="1">
      <x:c r="A26" s="2"/>
      <x:c r="B26" s="2"/>
      <x:c r="C26" s="2"/>
      <x:c r="D26" s="3"/>
      <x:c r="E26" s="3"/>
      <x:c r="F26" s="3"/>
      <x:c r="G26" s="3"/>
      <x:c r="H26" s="3"/>
      <x:c r="I26" s="3"/>
      <x:c r="J26" s="3"/>
      <x:c r="K26" s="3"/>
      <x:c r="L26" s="3"/>
      <x:c r="M26" s="3"/>
      <x:c r="N26" s="3"/>
      <x:c r="O26" s="3"/>
      <x:c r="P26" s="3"/>
      <x:c r="Q26" s="3"/>
      <x:c r="R26" s="3"/>
      <x:c r="S26" s="3"/>
      <x:c r="T26" s="3"/>
      <x:c r="U26" s="3"/>
      <x:c r="V26" s="3"/>
      <x:c r="W26" s="3"/>
    </x:row>
    <x:row r="27" ht="19" customHeight="1">
      <x:c r="A27" s="2"/>
      <x:c r="B27" s="2"/>
      <x:c r="C27" s="2" t="s">
        <x:v>320</x:v>
      </x:c>
      <x:c r="D27" s="56" t="n">
        <x:f>ROUND(-(SUM('Fee engine'!D38:E38))-(Disclosures!D28+Disclosures!D29),8)</x:f>
        <x:v>0</x:v>
      </x:c>
      <x:c r="E27" s="56" t="n">
        <x:f>ROUND(-(SUM('Fee engine'!D38:G38))-(Disclosures!E28+Disclosures!E29),8)</x:f>
        <x:v>0</x:v>
      </x:c>
      <x:c r="F27" s="56" t="n">
        <x:f>ROUND(-(SUM('Fee engine'!H38:I38))-(Disclosures!F28+Disclosures!F29),8)</x:f>
        <x:v>0</x:v>
      </x:c>
      <x:c r="G27" s="56" t="n">
        <x:f>ROUND(-(SUM('Fee engine'!H38:K38))-(Disclosures!G28+Disclosures!G29),8)</x:f>
        <x:v>0</x:v>
      </x:c>
      <x:c r="H27" s="56" t="n">
        <x:f>ROUND(-(SUM('Fee engine'!L38:M38))-(Disclosures!H28+Disclosures!H29),8)</x:f>
        <x:v>0</x:v>
      </x:c>
      <x:c r="I27" s="56" t="n">
        <x:f>ROUND(-(SUM('Fee engine'!L38:O38))-(Disclosures!I28+Disclosures!I29),8)</x:f>
        <x:v>0</x:v>
      </x:c>
      <x:c r="J27" s="56" t="n">
        <x:f>ROUND(-(SUM('Fee engine'!P38:Q38))-(Disclosures!J28+Disclosures!J29),8)</x:f>
        <x:v>0</x:v>
      </x:c>
      <x:c r="K27" s="3"/>
      <x:c r="L27" s="3"/>
      <x:c r="M27" s="3"/>
      <x:c r="N27" s="3"/>
      <x:c r="O27" s="3"/>
      <x:c r="P27" s="3"/>
      <x:c r="Q27" s="3"/>
      <x:c r="R27" s="3"/>
      <x:c r="S27" s="3"/>
      <x:c r="T27" s="3"/>
      <x:c r="U27" s="3"/>
      <x:c r="V27" s="3"/>
      <x:c r="W27" s="3"/>
    </x:row>
    <x:row r="28" ht="19" customHeight="1">
      <x:c r="A28" s="2"/>
      <x:c r="B28" s="2"/>
      <x:c r="C28" s="2" t="s">
        <x:v>144</x:v>
      </x:c>
      <x:c r="D28" s="56" t="n">
        <x:f>ROUND(-(SUM('Fee engine'!D34:E34))-(Disclosures!D27),8)</x:f>
        <x:v>0</x:v>
      </x:c>
      <x:c r="E28" s="56" t="n">
        <x:f>ROUND(-(SUM('Fee engine'!D34:G34))-(Disclosures!E27),8)</x:f>
        <x:v>0</x:v>
      </x:c>
      <x:c r="F28" s="56" t="n">
        <x:f>ROUND(-(SUM('Fee engine'!H34:I34))-(Disclosures!F27),8)</x:f>
        <x:v>0</x:v>
      </x:c>
      <x:c r="G28" s="56" t="n">
        <x:f>ROUND(-(SUM('Fee engine'!H34:K34))-(Disclosures!G27),8)</x:f>
        <x:v>0</x:v>
      </x:c>
      <x:c r="H28" s="56" t="n">
        <x:f>ROUND(-(SUM('Fee engine'!L34:M34))-(Disclosures!H27),8)</x:f>
        <x:v>0</x:v>
      </x:c>
      <x:c r="I28" s="56" t="n">
        <x:f>ROUND(-(SUM('Fee engine'!L34:O34))-(Disclosures!I27),8)</x:f>
        <x:v>0</x:v>
      </x:c>
      <x:c r="J28" s="56" t="n">
        <x:f>ROUND(-(SUM('Fee engine'!P34:Q34))-(Disclosures!J27),8)</x:f>
        <x:v>0</x:v>
      </x:c>
      <x:c r="K28" s="3"/>
      <x:c r="L28" s="3"/>
      <x:c r="M28" s="3"/>
      <x:c r="N28" s="3"/>
      <x:c r="O28" s="3"/>
      <x:c r="P28" s="3"/>
      <x:c r="Q28" s="3"/>
      <x:c r="R28" s="3"/>
      <x:c r="S28" s="3"/>
      <x:c r="T28" s="3"/>
      <x:c r="U28" s="3"/>
      <x:c r="V28" s="3"/>
      <x:c r="W28" s="3"/>
    </x:row>
    <x:row r="29" ht="19" customHeight="1">
      <x:c r="A29" s="2"/>
      <x:c r="B29" s="2"/>
      <x:c r="C29" s="2" t="s">
        <x:v>321</x:v>
      </x:c>
      <x:c r="D29" s="56" t="n">
        <x:f>ROUND(-(SUM('Fee engine'!D34:E34)+SUM('Fee engine'!D35:E35))-(Disclosures!D28),8)</x:f>
        <x:v>0</x:v>
      </x:c>
      <x:c r="E29" s="56" t="n">
        <x:f>ROUND(-(SUM('Fee engine'!D34:G34)+SUM('Fee engine'!D35:G35))-(Disclosures!E28),8)</x:f>
        <x:v>0</x:v>
      </x:c>
      <x:c r="F29" s="56" t="n">
        <x:f>ROUND(-(SUM('Fee engine'!H34:I34)+SUM('Fee engine'!H35:I35))-(Disclosures!F28),8)</x:f>
        <x:v>0</x:v>
      </x:c>
      <x:c r="G29" s="56" t="n">
        <x:f>ROUND(-(SUM('Fee engine'!H34:K34)+SUM('Fee engine'!H35:K35))-(Disclosures!G28),8)</x:f>
        <x:v>0</x:v>
      </x:c>
      <x:c r="H29" s="56" t="n">
        <x:f>ROUND(-(SUM('Fee engine'!L34:M34)+SUM('Fee engine'!L35:M35))-(Disclosures!H28),8)</x:f>
        <x:v>0</x:v>
      </x:c>
      <x:c r="I29" s="56" t="n">
        <x:f>ROUND(-(SUM('Fee engine'!L34:O34)+SUM('Fee engine'!L35:O35))-(Disclosures!I28),8)</x:f>
        <x:v>0</x:v>
      </x:c>
      <x:c r="J29" s="56" t="n">
        <x:f>ROUND(-(SUM('Fee engine'!P34:Q34)+SUM('Fee engine'!P35:Q35))-(Disclosures!J28),8)</x:f>
        <x:v>0</x:v>
      </x:c>
      <x:c r="K29" s="3"/>
      <x:c r="L29" s="3"/>
      <x:c r="M29" s="3"/>
      <x:c r="N29" s="3"/>
      <x:c r="O29" s="3"/>
      <x:c r="P29" s="3"/>
      <x:c r="Q29" s="3"/>
      <x:c r="R29" s="3"/>
      <x:c r="S29" s="3"/>
      <x:c r="T29" s="3"/>
      <x:c r="U29" s="3"/>
      <x:c r="V29" s="3"/>
      <x:c r="W29" s="3"/>
    </x:row>
    <x:row r="30" ht="19" customHeight="1">
      <x:c r="A30" s="2"/>
      <x:c r="B30" s="2"/>
      <x:c r="C30" s="2" t="s">
        <x:v>322</x:v>
      </x:c>
      <x:c r="D30" s="56" t="n">
        <x:f>ROUND(-(SUM('Fee engine'!D36:E36)+SUM('Fee engine'!D37:E37))-(Disclosures!D29),8)</x:f>
        <x:v>0</x:v>
      </x:c>
      <x:c r="E30" s="56" t="n">
        <x:f>ROUND(-(SUM('Fee engine'!D36:G36)+SUM('Fee engine'!D37:G37))-(Disclosures!E29),8)</x:f>
        <x:v>0</x:v>
      </x:c>
      <x:c r="F30" s="56" t="n">
        <x:f>ROUND(-(SUM('Fee engine'!H36:I36)+SUM('Fee engine'!H37:I37))-(Disclosures!F29),8)</x:f>
        <x:v>0</x:v>
      </x:c>
      <x:c r="G30" s="56" t="n">
        <x:f>ROUND(-(SUM('Fee engine'!H36:K36)+SUM('Fee engine'!H37:K37))-(Disclosures!G29),8)</x:f>
        <x:v>0</x:v>
      </x:c>
      <x:c r="H30" s="56" t="n">
        <x:f>ROUND(-(SUM('Fee engine'!L36:M36)+SUM('Fee engine'!L37:M37))-(Disclosures!H29),8)</x:f>
        <x:v>0</x:v>
      </x:c>
      <x:c r="I30" s="56" t="n">
        <x:f>ROUND(-(SUM('Fee engine'!L36:O36)+SUM('Fee engine'!L37:O37))-(Disclosures!I29),8)</x:f>
        <x:v>0</x:v>
      </x:c>
      <x:c r="J30" s="56" t="n">
        <x:f>ROUND(-(SUM('Fee engine'!P36:Q36)+SUM('Fee engine'!P37:Q37))-(Disclosures!J29),8)</x:f>
        <x:v>0</x:v>
      </x:c>
      <x:c r="K30" s="3"/>
      <x:c r="L30" s="3"/>
      <x:c r="M30" s="3"/>
      <x:c r="N30" s="3"/>
      <x:c r="O30" s="3"/>
      <x:c r="P30" s="3"/>
      <x:c r="Q30" s="3"/>
      <x:c r="R30" s="3"/>
      <x:c r="S30" s="3"/>
      <x:c r="T30" s="3"/>
      <x:c r="U30" s="3"/>
      <x:c r="V30" s="3"/>
      <x:c r="W30" s="3"/>
    </x:row>
    <x:row r="31" ht="19" customHeight="1">
      <x:c r="A31" s="2"/>
      <x:c r="B31" s="2"/>
      <x:c r="C31" s="2" t="s">
        <x:v>323</x:v>
      </x:c>
      <x:c r="D31" s="56" t="n">
        <x:f>ROUND(-(SUM('Fee engine'!D39:E39))-(Disclosures!D26),8)</x:f>
        <x:v>0</x:v>
      </x:c>
      <x:c r="E31" s="56" t="n">
        <x:f>ROUND(-(SUM('Fee engine'!D39:G39))-(Disclosures!E26),8)</x:f>
        <x:v>0</x:v>
      </x:c>
      <x:c r="F31" s="56" t="n">
        <x:f>ROUND(-(SUM('Fee engine'!H39:I39))-(Disclosures!F26),8)</x:f>
        <x:v>0</x:v>
      </x:c>
      <x:c r="G31" s="56" t="n">
        <x:f>ROUND(-(SUM('Fee engine'!H39:K39))-(Disclosures!G26),8)</x:f>
        <x:v>0</x:v>
      </x:c>
      <x:c r="H31" s="56" t="n">
        <x:f>ROUND(-(SUM('Fee engine'!L39:M39))-(Disclosures!H26),8)</x:f>
        <x:v>0</x:v>
      </x:c>
      <x:c r="I31" s="56" t="n">
        <x:f>ROUND(-(SUM('Fee engine'!L39:O39))-(Disclosures!I26),8)</x:f>
        <x:v>0</x:v>
      </x:c>
      <x:c r="J31" s="56" t="n">
        <x:f>ROUND(-(SUM('Fee engine'!P39:Q39))-(Disclosures!J26),8)</x:f>
        <x:v>0</x:v>
      </x:c>
      <x:c r="K31" s="3"/>
      <x:c r="L31" s="3"/>
      <x:c r="M31" s="3"/>
      <x:c r="N31" s="3"/>
      <x:c r="O31" s="3"/>
      <x:c r="P31" s="3"/>
      <x:c r="Q31" s="3"/>
      <x:c r="R31" s="3"/>
      <x:c r="S31" s="3"/>
      <x:c r="T31" s="3"/>
      <x:c r="U31" s="3"/>
      <x:c r="V31" s="3"/>
      <x:c r="W31" s="3"/>
    </x:row>
    <x:row r="32" ht="19" customHeight="1">
      <x:c r="A32" s="2"/>
      <x:c r="B32" s="2"/>
      <x:c r="C32" s="2" t="s">
        <x:v>324</x:v>
      </x:c>
      <x:c r="D32" s="56" t="n">
        <x:f>ROUND(-(SUM('Fee engine'!D40:E40))-(Disclosures!D30),8)</x:f>
        <x:v>0</x:v>
      </x:c>
      <x:c r="E32" s="56" t="n">
        <x:f>ROUND(-(SUM('Fee engine'!D40:G40))-(Disclosures!E30),8)</x:f>
        <x:v>0</x:v>
      </x:c>
      <x:c r="F32" s="56" t="n">
        <x:f>ROUND(-(SUM('Fee engine'!H40:I40))-(Disclosures!F30),8)</x:f>
        <x:v>0</x:v>
      </x:c>
      <x:c r="G32" s="56" t="n">
        <x:f>ROUND(-(SUM('Fee engine'!H40:K40))-(Disclosures!G30),8)</x:f>
        <x:v>0</x:v>
      </x:c>
      <x:c r="H32" s="56" t="n">
        <x:f>ROUND(-(SUM('Fee engine'!L40:M40))-(Disclosures!H30),8)</x:f>
        <x:v>0</x:v>
      </x:c>
      <x:c r="I32" s="56" t="n">
        <x:f>ROUND(-(SUM('Fee engine'!L40:O40))-(Disclosures!I30),8)</x:f>
        <x:v>0</x:v>
      </x:c>
      <x:c r="J32" s="56" t="n">
        <x:f>ROUND(-(SUM('Fee engine'!P40:Q40))-(Disclosures!J30),8)</x:f>
        <x:v>0</x:v>
      </x:c>
      <x:c r="K32" s="3"/>
      <x:c r="L32" s="3"/>
      <x:c r="M32" s="3"/>
      <x:c r="N32" s="3"/>
      <x:c r="O32" s="3"/>
      <x:c r="P32" s="3"/>
      <x:c r="Q32" s="3"/>
      <x:c r="R32" s="3"/>
      <x:c r="S32" s="3"/>
      <x:c r="T32" s="3"/>
      <x:c r="U32" s="3"/>
      <x:c r="V32" s="3"/>
      <x:c r="W32" s="3"/>
    </x:row>
    <x:row r="33" ht="19" customHeight="1">
      <x:c r="A33" s="2"/>
      <x:c r="B33" s="2"/>
      <x:c r="C33" s="2" t="s">
        <x:v>325</x:v>
      </x:c>
      <x:c r="D33" s="56" t="n">
        <x:f>ROUND(-(SUM('Fee engine'!D41:E41))-(Disclosures!D31),8)</x:f>
        <x:v>0</x:v>
      </x:c>
      <x:c r="E33" s="56" t="n">
        <x:f>ROUND(-(SUM('Fee engine'!D41:G41))-(Disclosures!E31),8)</x:f>
        <x:v>0</x:v>
      </x:c>
      <x:c r="F33" s="56" t="n">
        <x:f>ROUND(-(SUM('Fee engine'!H41:I41))-(Disclosures!F31),8)</x:f>
        <x:v>0</x:v>
      </x:c>
      <x:c r="G33" s="56" t="n">
        <x:f>ROUND(-(SUM('Fee engine'!H41:K41))-(Disclosures!G31),8)</x:f>
        <x:v>0</x:v>
      </x:c>
      <x:c r="H33" s="56" t="n">
        <x:f>ROUND(-(SUM('Fee engine'!L41:M41))-(Disclosures!H31),8)</x:f>
        <x:v>0</x:v>
      </x:c>
      <x:c r="I33" s="56" t="n">
        <x:f>ROUND(-(SUM('Fee engine'!L41:O41))-(Disclosures!I31),8)</x:f>
        <x:v>0</x:v>
      </x:c>
      <x:c r="J33" s="56" t="n">
        <x:f>ROUND(-(SUM('Fee engine'!P41:Q41))-(Disclosures!J31),8)</x:f>
        <x:v>0</x:v>
      </x:c>
      <x:c r="K33" s="3"/>
      <x:c r="L33" s="3"/>
      <x:c r="M33" s="3"/>
      <x:c r="N33" s="3"/>
      <x:c r="O33" s="3"/>
      <x:c r="P33" s="3"/>
      <x:c r="Q33" s="3"/>
      <x:c r="R33" s="3"/>
      <x:c r="S33" s="3"/>
      <x:c r="T33" s="3"/>
      <x:c r="U33" s="3"/>
      <x:c r="V33" s="3"/>
      <x:c r="W33" s="3"/>
    </x:row>
    <x:row r="34" ht="19" customHeight="1">
      <x:c r="A34" s="2"/>
      <x:c r="B34" s="2"/>
      <x:c r="C34" s="2"/>
      <x:c r="D34" s="3"/>
      <x:c r="E34" s="3"/>
      <x:c r="F34" s="3"/>
      <x:c r="G34" s="3"/>
      <x:c r="H34" s="3"/>
      <x:c r="I34" s="3"/>
      <x:c r="J34" s="3"/>
      <x:c r="K34" s="3"/>
      <x:c r="L34" s="3"/>
      <x:c r="M34" s="3"/>
      <x:c r="N34" s="3"/>
      <x:c r="O34" s="3"/>
      <x:c r="P34" s="3"/>
      <x:c r="Q34" s="3"/>
      <x:c r="R34" s="3"/>
      <x:c r="S34" s="3"/>
      <x:c r="T34" s="3"/>
      <x:c r="U34" s="3"/>
      <x:c r="V34" s="3"/>
      <x:c r="W34" s="3"/>
    </x:row>
    <x:row r="35" ht="19" customHeight="1">
      <x:c r="A35" s="2"/>
      <x:c r="B35" s="2"/>
      <x:c r="C35" s="2"/>
      <x:c r="D35" s="3"/>
      <x:c r="E35" s="3"/>
      <x:c r="F35" s="3"/>
      <x:c r="G35" s="3"/>
      <x:c r="H35" s="3"/>
      <x:c r="I35" s="3"/>
      <x:c r="J35" s="3"/>
      <x:c r="K35" s="3"/>
      <x:c r="L35" s="3"/>
      <x:c r="M35" s="3"/>
      <x:c r="N35" s="3"/>
      <x:c r="O35" s="3"/>
      <x:c r="P35" s="3"/>
      <x:c r="Q35" s="3"/>
      <x:c r="R35" s="3"/>
      <x:c r="S35" s="3"/>
      <x:c r="T35" s="3"/>
      <x:c r="U35" s="3"/>
      <x:c r="V35" s="3"/>
      <x:c r="W35" s="3"/>
    </x:row>
    <x:row r="36" ht="19" customHeight="1">
      <x:c r="A36" s="2"/>
      <x:c r="B36" s="2"/>
      <x:c r="C36" s="11" t="s">
        <x:v>326</x:v>
      </x:c>
      <x:c r="D36" s="12"/>
      <x:c r="E36" s="12"/>
      <x:c r="F36" s="12"/>
      <x:c r="G36" s="3"/>
      <x:c r="H36" s="3"/>
      <x:c r="I36" s="3"/>
      <x:c r="J36" s="3"/>
      <x:c r="K36" s="3"/>
      <x:c r="L36" s="3"/>
      <x:c r="M36" s="3"/>
      <x:c r="N36" s="3"/>
      <x:c r="O36" s="3"/>
      <x:c r="P36" s="3"/>
      <x:c r="Q36" s="3"/>
      <x:c r="R36" s="3"/>
      <x:c r="S36" s="3"/>
      <x:c r="T36" s="3"/>
      <x:c r="U36" s="3"/>
      <x:c r="V36" s="3"/>
      <x:c r="W36" s="3"/>
    </x:row>
    <x:row r="37" ht="19" customHeight="1">
      <x:c r="A37" s="2"/>
      <x:c r="B37" s="2"/>
      <x:c r="C37" s="2"/>
      <x:c r="D37" s="3" t="s">
        <x:v>4</x:v>
      </x:c>
      <x:c r="E37" s="3" t="s">
        <x:v>6</x:v>
      </x:c>
      <x:c r="F37" s="3" t="s">
        <x:v>8</x:v>
      </x:c>
      <x:c r="G37" s="3"/>
      <x:c r="H37" s="3"/>
      <x:c r="I37" s="3"/>
      <x:c r="J37" s="3"/>
      <x:c r="K37" s="3"/>
      <x:c r="L37" s="3"/>
      <x:c r="M37" s="3"/>
      <x:c r="N37" s="3"/>
      <x:c r="O37" s="3"/>
      <x:c r="P37" s="3"/>
      <x:c r="Q37" s="3"/>
      <x:c r="R37" s="3"/>
      <x:c r="S37" s="3"/>
      <x:c r="T37" s="3"/>
      <x:c r="U37" s="3"/>
      <x:c r="V37" s="3"/>
      <x:c r="W37" s="3"/>
    </x:row>
    <x:row r="38" ht="19" customHeight="1">
      <x:c r="A38" s="2"/>
      <x:c r="B38" s="2"/>
      <x:c r="C38" s="2" t="s">
        <x:v>327</x:v>
      </x:c>
      <x:c r="D38" s="56" t="n">
        <x:f>ROUND('Fee engine'!E89-Disclosures!D53,8)</x:f>
        <x:v>0</x:v>
      </x:c>
      <x:c r="E38" s="56" t="n">
        <x:f>ROUND('Fee engine'!G89-Disclosures!E53,8)</x:f>
        <x:v>0</x:v>
      </x:c>
      <x:c r="F38" s="56" t="n">
        <x:f>ROUND('Fee engine'!I89-Disclosures!F53,8)</x:f>
        <x:v>0</x:v>
      </x:c>
      <x:c r="G38" s="3"/>
      <x:c r="H38" s="3"/>
      <x:c r="I38" s="3"/>
      <x:c r="J38" s="3"/>
      <x:c r="K38" s="3"/>
      <x:c r="L38" s="3"/>
      <x:c r="M38" s="3"/>
      <x:c r="N38" s="3"/>
      <x:c r="O38" s="3"/>
      <x:c r="P38" s="3"/>
      <x:c r="Q38" s="3"/>
      <x:c r="R38" s="3"/>
      <x:c r="S38" s="3"/>
      <x:c r="T38" s="3"/>
      <x:c r="U38" s="3"/>
      <x:c r="V38" s="3"/>
      <x:c r="W38" s="3"/>
    </x:row>
    <x:row r="39" ht="19" customHeight="1">
      <x:c r="A39" s="2"/>
      <x:c r="B39" s="2"/>
      <x:c r="C39" s="2" t="s">
        <x:v>328</x:v>
      </x:c>
      <x:c r="D39" s="56" t="n">
        <x:f>ROUND('Fee engine'!E90-Disclosures!D54,8)</x:f>
        <x:v>0</x:v>
      </x:c>
      <x:c r="E39" s="56" t="n">
        <x:f>ROUND('Fee engine'!G90-Disclosures!E54,8)</x:f>
        <x:v>0</x:v>
      </x:c>
      <x:c r="F39" s="56" t="n">
        <x:f>ROUND('Fee engine'!I90-Disclosures!F54,8)</x:f>
        <x:v>0</x:v>
      </x:c>
      <x:c r="G39" s="3"/>
      <x:c r="H39" s="3"/>
      <x:c r="I39" s="3"/>
      <x:c r="J39" s="3"/>
      <x:c r="K39" s="3"/>
      <x:c r="L39" s="3"/>
      <x:c r="M39" s="3"/>
      <x:c r="N39" s="3"/>
      <x:c r="O39" s="3"/>
      <x:c r="P39" s="3"/>
      <x:c r="Q39" s="3"/>
      <x:c r="R39" s="3"/>
      <x:c r="S39" s="3"/>
      <x:c r="T39" s="3"/>
      <x:c r="U39" s="3"/>
      <x:c r="V39" s="3"/>
      <x:c r="W39" s="3"/>
    </x:row>
    <x:row r="40" ht="19" customHeight="1">
      <x:c r="A40" s="2"/>
      <x:c r="B40" s="2"/>
      <x:c r="C40" s="2" t="s">
        <x:v>329</x:v>
      </x:c>
      <x:c r="D40" s="56" t="n">
        <x:f>ROUND(SUM('Fee engine'!E91:E94)-Disclosures!D55,8)</x:f>
        <x:v>0</x:v>
      </x:c>
      <x:c r="E40" s="56" t="n">
        <x:f>ROUND(SUM('Fee engine'!G91:G94)-Disclosures!E55,8)</x:f>
        <x:v>0</x:v>
      </x:c>
      <x:c r="F40" s="56" t="n">
        <x:f>ROUND(SUM('Fee engine'!I91:I94)-Disclosures!F55,8)</x:f>
        <x:v>0</x:v>
      </x:c>
      <x:c r="G40" s="3"/>
      <x:c r="H40" s="3"/>
      <x:c r="I40" s="3"/>
      <x:c r="J40" s="3"/>
      <x:c r="K40" s="3"/>
      <x:c r="L40" s="3"/>
      <x:c r="M40" s="3"/>
      <x:c r="N40" s="3"/>
      <x:c r="O40" s="3"/>
      <x:c r="P40" s="3"/>
      <x:c r="Q40" s="3"/>
      <x:c r="R40" s="3"/>
      <x:c r="S40" s="3"/>
      <x:c r="T40" s="3"/>
      <x:c r="U40" s="3"/>
      <x:c r="V40" s="3"/>
      <x:c r="W40" s="3"/>
    </x:row>
    <x:row r="41" ht="19" customHeight="1">
      <x:c r="A41" s="2"/>
      <x:c r="B41" s="2"/>
      <x:c r="C41" s="2" t="s">
        <x:v>330</x:v>
      </x:c>
      <x:c r="D41" s="56" t="s">
        <x:v>126</x:v>
      </x:c>
      <x:c r="E41" s="56" t="n">
        <x:f>ROUND('Fee engine'!G91-Disclosures!E51,8)</x:f>
        <x:v>0</x:v>
      </x:c>
      <x:c r="F41" s="56" t="n">
        <x:f>ROUND('Fee engine'!I91-Disclosures!F51,8)</x:f>
        <x:v>0</x:v>
      </x:c>
      <x:c r="G41" s="3"/>
      <x:c r="H41" s="3"/>
      <x:c r="I41" s="3"/>
      <x:c r="J41" s="3"/>
      <x:c r="K41" s="3"/>
      <x:c r="L41" s="3"/>
      <x:c r="M41" s="3"/>
      <x:c r="N41" s="3"/>
      <x:c r="O41" s="3"/>
      <x:c r="P41" s="3"/>
      <x:c r="Q41" s="3"/>
      <x:c r="R41" s="3"/>
      <x:c r="S41" s="3"/>
      <x:c r="T41" s="3"/>
      <x:c r="U41" s="3"/>
      <x:c r="V41" s="3"/>
      <x:c r="W41" s="3"/>
    </x:row>
    <x:row r="42" ht="19" customHeight="1">
      <x:c r="A42" s="2"/>
      <x:c r="B42" s="2"/>
      <x:c r="C42" s="2" t="s">
        <x:v>331</x:v>
      </x:c>
      <x:c r="D42" s="56" t="s">
        <x:v>126</x:v>
      </x:c>
      <x:c r="E42" s="56" t="n">
        <x:f>ROUND('Fee engine'!G93-Disclosures!E52,8)</x:f>
        <x:v>0</x:v>
      </x:c>
      <x:c r="F42" s="56" t="s">
        <x:v>126</x:v>
      </x:c>
      <x:c r="G42" s="3"/>
      <x:c r="H42" s="3"/>
      <x:c r="I42" s="3"/>
      <x:c r="J42" s="3"/>
      <x:c r="K42" s="3"/>
      <x:c r="L42" s="3"/>
      <x:c r="M42" s="3"/>
      <x:c r="N42" s="3"/>
      <x:c r="O42" s="3"/>
      <x:c r="P42" s="3"/>
      <x:c r="Q42" s="3"/>
      <x:c r="R42" s="3"/>
      <x:c r="S42" s="3"/>
      <x:c r="T42" s="3"/>
      <x:c r="U42" s="3"/>
      <x:c r="V42" s="3"/>
      <x:c r="W42" s="3"/>
    </x:row>
    <x:row r="43" ht="19" customHeight="1">
      <x:c r="A43" s="2"/>
      <x:c r="B43" s="2"/>
      <x:c r="C43" s="2"/>
      <x:c r="D43" s="3"/>
      <x:c r="E43" s="3"/>
      <x:c r="F43" s="3"/>
      <x:c r="G43" s="3"/>
      <x:c r="H43" s="3"/>
      <x:c r="I43" s="3"/>
      <x:c r="J43" s="3"/>
      <x:c r="K43" s="3"/>
      <x:c r="L43" s="3"/>
      <x:c r="M43" s="3"/>
      <x:c r="N43" s="3"/>
      <x:c r="O43" s="3"/>
      <x:c r="P43" s="3"/>
      <x:c r="Q43" s="3"/>
      <x:c r="R43" s="3"/>
      <x:c r="S43" s="3"/>
      <x:c r="T43" s="3"/>
      <x:c r="U43" s="3"/>
      <x:c r="V43" s="3"/>
      <x:c r="W43" s="3"/>
    </x:row>
    <x:row r="44" ht="19" customHeight="1">
      <x:c r="A44" s="2"/>
      <x:c r="B44" s="2"/>
      <x:c r="C44" s="2"/>
      <x:c r="D44" s="3"/>
      <x:c r="E44" s="3"/>
      <x:c r="F44" s="3"/>
      <x:c r="G44" s="3"/>
      <x:c r="H44" s="3"/>
      <x:c r="I44" s="3"/>
      <x:c r="J44" s="3"/>
      <x:c r="K44" s="3"/>
      <x:c r="L44" s="3"/>
      <x:c r="M44" s="3"/>
      <x:c r="N44" s="3"/>
      <x:c r="O44" s="3"/>
      <x:c r="P44" s="3"/>
      <x:c r="Q44" s="3"/>
      <x:c r="R44" s="3"/>
      <x:c r="S44" s="3"/>
      <x:c r="T44" s="3"/>
      <x:c r="U44" s="3"/>
      <x:c r="V44" s="3"/>
      <x:c r="W44" s="3"/>
    </x:row>
    <x:row r="45" ht="19" customHeight="1">
      <x:c r="A45" s="2"/>
      <x:c r="B45" s="2"/>
      <x:c r="C45" s="11" t="s">
        <x:v>332</x:v>
      </x:c>
      <x:c r="D45" s="12"/>
      <x:c r="E45" s="12"/>
      <x:c r="F45" s="12"/>
      <x:c r="G45" s="12"/>
      <x:c r="H45" s="12"/>
      <x:c r="I45" s="12"/>
      <x:c r="J45" s="12"/>
      <x:c r="K45" s="12"/>
      <x:c r="L45" s="12"/>
      <x:c r="M45" s="12"/>
      <x:c r="N45" s="12"/>
      <x:c r="O45" s="12"/>
      <x:c r="P45" s="12"/>
      <x:c r="Q45" s="12"/>
      <x:c r="R45" s="12"/>
      <x:c r="S45" s="12"/>
      <x:c r="T45" s="12"/>
      <x:c r="U45" s="12"/>
      <x:c r="V45" s="12"/>
      <x:c r="W45" s="12"/>
    </x:row>
    <x:row r="46" ht="19" customHeight="1">
      <x:c r="A46" s="2"/>
      <x:c r="B46" s="2"/>
      <x:c r="C46" s="2"/>
      <x:c r="D46" s="3"/>
      <x:c r="E46" s="3"/>
      <x:c r="F46" s="3"/>
      <x:c r="G46" s="3"/>
      <x:c r="H46" s="3"/>
      <x:c r="I46" s="3"/>
      <x:c r="J46" s="3"/>
      <x:c r="K46" s="3"/>
      <x:c r="L46" s="3"/>
      <x:c r="M46" s="3"/>
      <x:c r="N46" s="3"/>
      <x:c r="O46" s="3"/>
      <x:c r="P46" s="3"/>
      <x:c r="Q46" s="3"/>
      <x:c r="R46" s="3" t="s">
        <x:v>76</x:v>
      </x:c>
      <x:c r="S46" s="3" t="s">
        <x:v>77</x:v>
      </x:c>
      <x:c r="T46" s="3" t="s">
        <x:v>78</x:v>
      </x:c>
      <x:c r="U46" s="3" t="s">
        <x:v>79</x:v>
      </x:c>
      <x:c r="V46" s="3" t="s">
        <x:v>80</x:v>
      </x:c>
      <x:c r="W46" s="3" t="s">
        <x:v>81</x:v>
      </x:c>
    </x:row>
    <x:row r="47" ht="19" customHeight="1">
      <x:c r="A47" s="2"/>
      <x:c r="B47" s="2"/>
      <x:c r="C47" s="2" t="s">
        <x:v>333</x:v>
      </x:c>
      <x:c r="D47" s="3"/>
      <x:c r="E47" s="3"/>
      <x:c r="F47" s="3"/>
      <x:c r="G47" s="3"/>
      <x:c r="H47" s="3"/>
      <x:c r="I47" s="3"/>
      <x:c r="J47" s="3"/>
      <x:c r="K47" s="3"/>
      <x:c r="L47" s="3"/>
      <x:c r="M47" s="3"/>
      <x:c r="N47" s="3"/>
      <x:c r="O47" s="3"/>
      <x:c r="P47" s="3"/>
      <x:c r="Q47" s="3"/>
      <x:c r="R47" s="56" t="n">
        <x:f>ROUND('Fee engine'!R11-'Fee engine'!R10*Assumptions!R11,8)</x:f>
        <x:v>0</x:v>
      </x:c>
      <x:c r="S47" s="56" t="n">
        <x:f>ROUND('Fee engine'!S11-'Fee engine'!S10*Assumptions!S11,8)</x:f>
        <x:v>0</x:v>
      </x:c>
      <x:c r="T47" s="56" t="n">
        <x:f>ROUND('Fee engine'!T11-'Fee engine'!T10*Assumptions!T11,8)</x:f>
        <x:v>0</x:v>
      </x:c>
      <x:c r="U47" s="56" t="n">
        <x:f>ROUND('Fee engine'!U11-'Fee engine'!U10*Assumptions!U11,8)</x:f>
        <x:v>0</x:v>
      </x:c>
      <x:c r="V47" s="56" t="n">
        <x:f>ROUND('Fee engine'!V11-'Fee engine'!V10*Assumptions!V11,8)</x:f>
        <x:v>0</x:v>
      </x:c>
      <x:c r="W47" s="56" t="n">
        <x:f>ROUND('Fee engine'!W11-'Fee engine'!W10*Assumptions!W11,8)</x:f>
        <x:v>0</x:v>
      </x:c>
    </x:row>
    <x:row r="48" ht="19" customHeight="1">
      <x:c r="A48" s="2"/>
      <x:c r="B48" s="2"/>
      <x:c r="C48" s="2" t="s">
        <x:v>334</x:v>
      </x:c>
      <x:c r="D48" s="3"/>
      <x:c r="E48" s="3"/>
      <x:c r="F48" s="3"/>
      <x:c r="G48" s="3"/>
      <x:c r="H48" s="3"/>
      <x:c r="I48" s="3"/>
      <x:c r="J48" s="3"/>
      <x:c r="K48" s="3"/>
      <x:c r="L48" s="3"/>
      <x:c r="M48" s="3"/>
      <x:c r="N48" s="3"/>
      <x:c r="O48" s="3"/>
      <x:c r="P48" s="3"/>
      <x:c r="Q48" s="3"/>
      <x:c r="R48" s="56" t="n">
        <x:f>ROUND('Fee engine'!R12-'Fee engine'!R10*Assumptions!R18,8)</x:f>
        <x:v>0</x:v>
      </x:c>
      <x:c r="S48" s="56" t="n">
        <x:f>ROUND('Fee engine'!S12-'Fee engine'!S10*Assumptions!S18,8)</x:f>
        <x:v>0</x:v>
      </x:c>
      <x:c r="T48" s="56" t="n">
        <x:f>ROUND('Fee engine'!T12-'Fee engine'!T10*Assumptions!T18,8)</x:f>
        <x:v>0</x:v>
      </x:c>
      <x:c r="U48" s="56" t="n">
        <x:f>ROUND('Fee engine'!U12-'Fee engine'!U10*Assumptions!U18,8)</x:f>
        <x:v>0</x:v>
      </x:c>
      <x:c r="V48" s="56" t="n">
        <x:f>ROUND('Fee engine'!V12-'Fee engine'!V10*Assumptions!V18,8)</x:f>
        <x:v>0</x:v>
      </x:c>
      <x:c r="W48" s="56" t="n">
        <x:f>ROUND('Fee engine'!W12-'Fee engine'!W10*Assumptions!W18,8)</x:f>
        <x:v>0</x:v>
      </x:c>
    </x:row>
    <x:row r="49" ht="19" customHeight="1">
      <x:c r="A49" s="2"/>
      <x:c r="B49" s="2"/>
      <x:c r="C49" s="2" t="s">
        <x:v>335</x:v>
      </x:c>
      <x:c r="D49" s="3"/>
      <x:c r="E49" s="3"/>
      <x:c r="F49" s="3"/>
      <x:c r="G49" s="3"/>
      <x:c r="H49" s="3"/>
      <x:c r="I49" s="3"/>
      <x:c r="J49" s="3"/>
      <x:c r="K49" s="3"/>
      <x:c r="L49" s="3"/>
      <x:c r="M49" s="3"/>
      <x:c r="N49" s="3"/>
      <x:c r="O49" s="3"/>
      <x:c r="P49" s="3"/>
      <x:c r="Q49" s="3"/>
      <x:c r="R49" s="56" t="n">
        <x:f>ROUND('Fee engine'!R26-Assumptions!R25,8)</x:f>
        <x:v>0</x:v>
      </x:c>
      <x:c r="S49" s="56" t="n">
        <x:f>ROUND('Fee engine'!S26-Assumptions!S25,8)</x:f>
        <x:v>0</x:v>
      </x:c>
      <x:c r="T49" s="56" t="n">
        <x:f>ROUND('Fee engine'!T26-Assumptions!T25,8)</x:f>
        <x:v>0</x:v>
      </x:c>
      <x:c r="U49" s="56" t="n">
        <x:f>ROUND('Fee engine'!U26-Assumptions!U25,8)</x:f>
        <x:v>0</x:v>
      </x:c>
      <x:c r="V49" s="56" t="n">
        <x:f>ROUND('Fee engine'!V26-Assumptions!V25,8)</x:f>
        <x:v>0</x:v>
      </x:c>
      <x:c r="W49" s="56" t="n">
        <x:f>ROUND('Fee engine'!W26-Assumptions!W25,8)</x:f>
        <x:v>0</x:v>
      </x:c>
    </x:row>
    <x:row r="50" ht="19" customHeight="1">
      <x:c r="A50" s="2"/>
      <x:c r="B50" s="2"/>
      <x:c r="C50" s="2" t="s">
        <x:v>336</x:v>
      </x:c>
      <x:c r="D50" s="3"/>
      <x:c r="E50" s="3"/>
      <x:c r="F50" s="3"/>
      <x:c r="G50" s="3"/>
      <x:c r="H50" s="3"/>
      <x:c r="I50" s="3"/>
      <x:c r="J50" s="3"/>
      <x:c r="K50" s="3"/>
      <x:c r="L50" s="3"/>
      <x:c r="M50" s="3"/>
      <x:c r="N50" s="3"/>
      <x:c r="O50" s="3"/>
      <x:c r="P50" s="3"/>
      <x:c r="Q50" s="3"/>
      <x:c r="R50" s="56" t="n">
        <x:f>ROUND('Fee engine'!R28-Assumptions!R32,8)</x:f>
        <x:v>0</x:v>
      </x:c>
      <x:c r="S50" s="56" t="n">
        <x:f>ROUND('Fee engine'!S28-Assumptions!S32,8)</x:f>
        <x:v>0</x:v>
      </x:c>
      <x:c r="T50" s="56" t="n">
        <x:f>ROUND('Fee engine'!T28-Assumptions!T32,8)</x:f>
        <x:v>0</x:v>
      </x:c>
      <x:c r="U50" s="56" t="n">
        <x:f>ROUND('Fee engine'!U28-Assumptions!U32,8)</x:f>
        <x:v>0</x:v>
      </x:c>
      <x:c r="V50" s="56" t="n">
        <x:f>ROUND('Fee engine'!V28-Assumptions!V32,8)</x:f>
        <x:v>0</x:v>
      </x:c>
      <x:c r="W50" s="56" t="n">
        <x:f>ROUND('Fee engine'!W28-Assumptions!W32,8)</x:f>
        <x:v>0</x:v>
      </x:c>
    </x:row>
    <x:row r="51" ht="19" customHeight="1">
      <x:c r="A51" s="2"/>
      <x:c r="B51" s="2"/>
      <x:c r="C51" s="2" t="s">
        <x:v>337</x:v>
      </x:c>
      <x:c r="D51" s="3"/>
      <x:c r="E51" s="3"/>
      <x:c r="F51" s="3"/>
      <x:c r="G51" s="3"/>
      <x:c r="H51" s="3"/>
      <x:c r="I51" s="3"/>
      <x:c r="J51" s="3"/>
      <x:c r="K51" s="3"/>
      <x:c r="L51" s="3"/>
      <x:c r="M51" s="3"/>
      <x:c r="N51" s="3"/>
      <x:c r="O51" s="3"/>
      <x:c r="P51" s="3"/>
      <x:c r="Q51" s="3"/>
      <x:c r="R51" s="56" t="n">
        <x:f>ROUND('Fee engine'!R36+'Fee engine'!R28*Assumptions!$D$52,8)</x:f>
        <x:v>0</x:v>
      </x:c>
      <x:c r="S51" s="56" t="n">
        <x:f>ROUND('Fee engine'!S36+'Fee engine'!S28*Assumptions!$D$52,8)</x:f>
        <x:v>0</x:v>
      </x:c>
      <x:c r="T51" s="56" t="n">
        <x:f>ROUND('Fee engine'!T36+'Fee engine'!T28*Assumptions!$D$52,8)</x:f>
        <x:v>0</x:v>
      </x:c>
      <x:c r="U51" s="56" t="n">
        <x:f>ROUND('Fee engine'!U36+'Fee engine'!U28*Assumptions!$D$52,8)</x:f>
        <x:v>0</x:v>
      </x:c>
      <x:c r="V51" s="56" t="n">
        <x:f>ROUND('Fee engine'!V36+'Fee engine'!V28*Assumptions!$D$52,8)</x:f>
        <x:v>0</x:v>
      </x:c>
      <x:c r="W51" s="56" t="n">
        <x:f>ROUND('Fee engine'!W36+'Fee engine'!W28*Assumptions!$D$52,8)</x:f>
        <x:v>0</x:v>
      </x:c>
    </x:row>
    <x:row r="52" ht="19" customHeight="1">
      <x:c r="A52" s="2"/>
      <x:c r="B52" s="2"/>
      <x:c r="C52" s="2" t="s">
        <x:v>338</x:v>
      </x:c>
      <x:c r="D52" s="3"/>
      <x:c r="E52" s="3"/>
      <x:c r="F52" s="3"/>
      <x:c r="G52" s="3"/>
      <x:c r="H52" s="3"/>
      <x:c r="I52" s="3"/>
      <x:c r="J52" s="3"/>
      <x:c r="K52" s="3"/>
      <x:c r="L52" s="3"/>
      <x:c r="M52" s="3"/>
      <x:c r="N52" s="3"/>
      <x:c r="O52" s="3"/>
      <x:c r="P52" s="3"/>
      <x:c r="Q52" s="3"/>
      <x:c r="R52" s="56" t="n">
        <x:f>ROUND(SUM('Fee engine'!R13:R16),8)</x:f>
        <x:v>0</x:v>
      </x:c>
      <x:c r="S52" s="56" t="n">
        <x:f>ROUND(SUM('Fee engine'!S13:S16),8)</x:f>
        <x:v>0</x:v>
      </x:c>
      <x:c r="T52" s="56" t="n">
        <x:f>ROUND(SUM('Fee engine'!T13:T16),8)</x:f>
        <x:v>0</x:v>
      </x:c>
      <x:c r="U52" s="56" t="n">
        <x:f>ROUND(SUM('Fee engine'!U13:U16),8)</x:f>
        <x:v>0</x:v>
      </x:c>
      <x:c r="V52" s="56" t="n">
        <x:f>ROUND(SUM('Fee engine'!V13:V16),8)</x:f>
        <x:v>0</x:v>
      </x:c>
      <x:c r="W52" s="56" t="n">
        <x:f>ROUND(SUM('Fee engine'!W13:W16),8)</x:f>
        <x:v>0</x:v>
      </x:c>
    </x:row>
    <x:row r="53" ht="19" customHeight="1">
      <x:c r="A53" s="2"/>
      <x:c r="B53" s="2"/>
      <x:c r="C53" s="2" t="s">
        <x:v>339</x:v>
      </x:c>
      <x:c r="D53" s="3"/>
      <x:c r="E53" s="3"/>
      <x:c r="F53" s="3"/>
      <x:c r="G53" s="3"/>
      <x:c r="H53" s="3"/>
      <x:c r="I53" s="3"/>
      <x:c r="J53" s="3"/>
      <x:c r="K53" s="3"/>
      <x:c r="L53" s="3"/>
      <x:c r="M53" s="3"/>
      <x:c r="N53" s="3"/>
      <x:c r="O53" s="3"/>
      <x:c r="P53" s="3"/>
      <x:c r="Q53" s="3"/>
      <x:c r="R53" s="56" t="n">
        <x:f>ROUND('Fee engine'!R34+Assumptions!$D$54,8)</x:f>
        <x:v>0</x:v>
      </x:c>
      <x:c r="S53" s="56" t="n">
        <x:f>ROUND('Fee engine'!S34+Assumptions!$D$54,8)</x:f>
        <x:v>0</x:v>
      </x:c>
      <x:c r="T53" s="56" t="n">
        <x:f>ROUND('Fee engine'!T34+Assumptions!$D$54,8)</x:f>
        <x:v>0</x:v>
      </x:c>
      <x:c r="U53" s="56" t="n">
        <x:f>ROUND('Fee engine'!U34+Assumptions!$D$54,8)</x:f>
        <x:v>0</x:v>
      </x:c>
      <x:c r="V53" s="56" t="n">
        <x:f>ROUND('Fee engine'!V34+Assumptions!$D$54,8)</x:f>
        <x:v>0</x:v>
      </x:c>
      <x:c r="W53" s="56" t="n">
        <x:f>ROUND('Fee engine'!W34+Assumptions!$D$54,8)</x:f>
        <x:v>0</x:v>
      </x:c>
    </x:row>
    <x:row r="54" ht="19" customHeight="1">
      <x:c r="A54" s="2"/>
      <x:c r="B54" s="2"/>
      <x:c r="C54" s="2" t="s">
        <x:v>340</x:v>
      </x:c>
      <x:c r="D54" s="3"/>
      <x:c r="E54" s="3"/>
      <x:c r="F54" s="3"/>
      <x:c r="G54" s="3"/>
      <x:c r="H54" s="3"/>
      <x:c r="I54" s="3"/>
      <x:c r="J54" s="3"/>
      <x:c r="K54" s="3"/>
      <x:c r="L54" s="3"/>
      <x:c r="M54" s="3"/>
      <x:c r="N54" s="3"/>
      <x:c r="O54" s="3"/>
      <x:c r="P54" s="3"/>
      <x:c r="Q54" s="3"/>
      <x:c r="R54" s="56" t="n">
        <x:f>ROUND('Fee engine'!R56-Assumptions!$D$57,8)</x:f>
        <x:v>0</x:v>
      </x:c>
      <x:c r="S54" s="56" t="n">
        <x:f>ROUND('Fee engine'!S56-Assumptions!$D$57,8)</x:f>
        <x:v>0</x:v>
      </x:c>
      <x:c r="T54" s="56" t="n">
        <x:f>ROUND('Fee engine'!T56-Assumptions!$D$57,8)</x:f>
        <x:v>0</x:v>
      </x:c>
      <x:c r="U54" s="56" t="n">
        <x:f>ROUND('Fee engine'!U56-Assumptions!$D$57,8)</x:f>
        <x:v>0</x:v>
      </x:c>
      <x:c r="V54" s="56" t="n">
        <x:f>ROUND('Fee engine'!V56-Assumptions!$D$57,8)</x:f>
        <x:v>0</x:v>
      </x:c>
      <x:c r="W54" s="56" t="n">
        <x:f>ROUND('Fee engine'!W56-Assumptions!$D$57,8)</x:f>
        <x:v>0</x:v>
      </x:c>
    </x:row>
    <x:row r="55" ht="19" customHeight="1">
      <x:c r="A55" s="2"/>
      <x:c r="B55" s="2"/>
      <x:c r="C55" s="2" t="s">
        <x:v>341</x:v>
      </x:c>
      <x:c r="D55" s="3"/>
      <x:c r="E55" s="3"/>
      <x:c r="F55" s="3"/>
      <x:c r="G55" s="3"/>
      <x:c r="H55" s="3"/>
      <x:c r="I55" s="3"/>
      <x:c r="J55" s="3"/>
      <x:c r="K55" s="3"/>
      <x:c r="L55" s="3"/>
      <x:c r="M55" s="3"/>
      <x:c r="N55" s="3"/>
      <x:c r="O55" s="3"/>
      <x:c r="P55" s="3"/>
      <x:c r="Q55" s="3"/>
      <x:c r="R55" s="56" t="n">
        <x:f>ROUND('Fee engine'!R60-Assumptions!$D$56,8)</x:f>
        <x:v>0</x:v>
      </x:c>
      <x:c r="S55" s="56" t="n">
        <x:f>ROUND('Fee engine'!S60-Assumptions!$D$56,8)</x:f>
        <x:v>0</x:v>
      </x:c>
      <x:c r="T55" s="56" t="n">
        <x:f>ROUND('Fee engine'!T60-Assumptions!$D$56,8)</x:f>
        <x:v>0</x:v>
      </x:c>
      <x:c r="U55" s="56" t="n">
        <x:f>ROUND('Fee engine'!U60-Assumptions!$D$56,8)</x:f>
        <x:v>0</x:v>
      </x:c>
      <x:c r="V55" s="56" t="n">
        <x:f>ROUND('Fee engine'!V60-Assumptions!$D$56,8)</x:f>
        <x:v>0</x:v>
      </x:c>
      <x:c r="W55" s="56" t="n">
        <x:f>ROUND('Fee engine'!W60-Assumptions!$D$56,8)</x:f>
        <x:v>0</x:v>
      </x:c>
    </x:row>
    <x:row r="56" ht="19" customHeight="1">
      <x:c r="A56" s="2"/>
      <x:c r="B56" s="2"/>
      <x:c r="C56" s="2"/>
      <x:c r="D56" s="3"/>
      <x:c r="E56" s="3"/>
      <x:c r="F56" s="3"/>
      <x:c r="G56" s="3"/>
      <x:c r="H56" s="3"/>
      <x:c r="I56" s="3"/>
      <x:c r="J56" s="3"/>
      <x:c r="K56" s="3"/>
      <x:c r="L56" s="3"/>
      <x:c r="M56" s="3"/>
      <x:c r="N56" s="3"/>
      <x:c r="O56" s="3"/>
      <x:c r="P56" s="3"/>
      <x:c r="Q56" s="3"/>
      <x:c r="R56" s="3"/>
      <x:c r="S56" s="3"/>
      <x:c r="T56" s="3"/>
      <x:c r="U56" s="3"/>
      <x:c r="V56" s="3"/>
      <x:c r="W56" s="3"/>
    </x:row>
    <x:row r="57" ht="19" customHeight="1">
      <x:c r="A57" s="2"/>
      <x:c r="B57" s="2"/>
      <x:c r="C57" s="2"/>
      <x:c r="D57" s="3"/>
      <x:c r="E57" s="3"/>
      <x:c r="F57" s="3"/>
      <x:c r="G57" s="3"/>
      <x:c r="H57" s="3"/>
      <x:c r="I57" s="3"/>
      <x:c r="J57" s="3"/>
      <x:c r="K57" s="3"/>
      <x:c r="L57" s="3"/>
      <x:c r="M57" s="3"/>
      <x:c r="N57" s="3"/>
      <x:c r="O57" s="3"/>
      <x:c r="P57" s="3"/>
      <x:c r="Q57" s="3"/>
      <x:c r="R57" s="3"/>
      <x:c r="S57" s="3"/>
      <x:c r="T57" s="3"/>
      <x:c r="U57" s="3"/>
      <x:c r="V57" s="3"/>
      <x:c r="W57" s="3"/>
    </x:row>
    <x:row r="58" ht="19" customHeight="1">
      <x:c r="A58" s="2"/>
      <x:c r="B58" s="2"/>
      <x:c r="C58" s="2" t="s">
        <x:v>342</x:v>
      </x:c>
      <x:c r="D58" s="3"/>
      <x:c r="E58" s="3"/>
      <x:c r="F58" s="3"/>
      <x:c r="G58" s="3"/>
      <x:c r="H58" s="3"/>
      <x:c r="I58" s="3"/>
      <x:c r="J58" s="3"/>
      <x:c r="K58" s="3"/>
      <x:c r="L58" s="3"/>
      <x:c r="M58" s="3"/>
      <x:c r="N58" s="3"/>
      <x:c r="O58" s="3"/>
      <x:c r="P58" s="3"/>
      <x:c r="Q58" s="3"/>
      <x:c r="R58" s="3"/>
      <x:c r="S58" s="3"/>
      <x:c r="T58" s="3"/>
      <x:c r="U58" s="3"/>
      <x:c r="V58" s="3"/>
      <x:c r="W58" s="3"/>
    </x:row>
    <x:row r="59" ht="19" customHeight="1">
      <x:c r="A59" s="2"/>
      <x:c r="B59" s="2"/>
      <x:c r="C59" s="2" t="s">
        <x:v>343</x:v>
      </x:c>
      <x:c r="D59" s="3"/>
      <x:c r="E59" s="3"/>
      <x:c r="F59" s="3"/>
      <x:c r="G59" s="3"/>
      <x:c r="H59" s="3"/>
      <x:c r="I59" s="3"/>
      <x:c r="J59" s="3"/>
      <x:c r="K59" s="3"/>
      <x:c r="L59" s="3"/>
      <x:c r="M59" s="3"/>
      <x:c r="N59" s="3"/>
      <x:c r="O59" s="3"/>
      <x:c r="P59" s="3"/>
      <x:c r="Q59" s="3"/>
      <x:c r="R59" s="3"/>
      <x:c r="S59" s="3"/>
      <x:c r="T59" s="3"/>
      <x:c r="U59" s="3"/>
      <x:c r="V59" s="3"/>
      <x:c r="W59" s="3"/>
    </x:row>
    <x:row r="60" ht="19" customHeight="1">
      <x:c r="A60" s="2"/>
      <x:c r="B60" s="2"/>
      <x:c r="C60" s="2"/>
      <x:c r="D60" s="3"/>
      <x:c r="E60" s="3"/>
      <x:c r="F60" s="3"/>
      <x:c r="G60" s="3"/>
      <x:c r="H60" s="3"/>
      <x:c r="I60" s="3"/>
      <x:c r="J60" s="3"/>
      <x:c r="K60" s="3"/>
      <x:c r="L60" s="3"/>
      <x:c r="M60" s="3"/>
      <x:c r="N60" s="3"/>
      <x:c r="O60" s="3"/>
      <x:c r="P60" s="3"/>
      <x:c r="Q60" s="3"/>
      <x:c r="R60" s="3"/>
      <x:c r="S60" s="3"/>
      <x:c r="T60" s="3"/>
      <x:c r="U60" s="3"/>
      <x:c r="V60" s="3"/>
      <x:c r="W60" s="3"/>
    </x:row>
    <x:row r="61" ht="19" customHeight="1">
      <x:c r="A61" s="2"/>
      <x:c r="B61" s="2"/>
      <x:c r="C61" s="2"/>
      <x:c r="D61" s="3"/>
      <x:c r="E61" s="3"/>
      <x:c r="F61" s="3"/>
      <x:c r="G61" s="3"/>
      <x:c r="H61" s="3"/>
      <x:c r="I61" s="3"/>
      <x:c r="J61" s="3"/>
      <x:c r="K61" s="3"/>
      <x:c r="L61" s="3"/>
      <x:c r="M61" s="3"/>
      <x:c r="N61" s="3"/>
      <x:c r="O61" s="3"/>
      <x:c r="P61" s="3"/>
      <x:c r="Q61" s="3"/>
      <x:c r="R61" s="3"/>
      <x:c r="S61" s="3"/>
      <x:c r="T61" s="3"/>
      <x:c r="U61" s="3"/>
      <x:c r="V61" s="3"/>
      <x:c r="W61" s="3"/>
    </x:row>
    <x:row r="62" ht="19" customHeight="1">
      <x:c r="A62" s="2"/>
      <x:c r="B62" s="2"/>
      <x:c r="C62" s="2"/>
      <x:c r="D62" s="3"/>
      <x:c r="E62" s="3"/>
      <x:c r="F62" s="3"/>
      <x:c r="G62" s="3"/>
      <x:c r="H62" s="3"/>
      <x:c r="I62" s="3"/>
      <x:c r="J62" s="3"/>
      <x:c r="K62" s="3"/>
      <x:c r="L62" s="3"/>
      <x:c r="M62" s="3"/>
      <x:c r="N62" s="3"/>
      <x:c r="O62" s="3"/>
      <x:c r="P62" s="3"/>
      <x:c r="Q62" s="3"/>
      <x:c r="R62" s="3"/>
      <x:c r="S62" s="3"/>
      <x:c r="T62" s="3"/>
      <x:c r="U62" s="3"/>
      <x:c r="V62" s="3"/>
      <x:c r="W62" s="3"/>
    </x:row>
    <x:row r="63" ht="19" customHeight="1">
      <x:c r="A63" s="2"/>
      <x:c r="B63" s="2"/>
      <x:c r="C63" s="2"/>
      <x:c r="D63" s="3"/>
      <x:c r="E63" s="3"/>
      <x:c r="F63" s="3"/>
      <x:c r="G63" s="3"/>
      <x:c r="H63" s="3"/>
      <x:c r="I63" s="3"/>
      <x:c r="J63" s="3"/>
      <x:c r="K63" s="3"/>
      <x:c r="L63" s="3"/>
      <x:c r="M63" s="3"/>
      <x:c r="N63" s="3"/>
      <x:c r="O63" s="3"/>
      <x:c r="P63" s="3"/>
      <x:c r="Q63" s="3"/>
      <x:c r="R63" s="3"/>
      <x:c r="S63" s="3"/>
      <x:c r="T63" s="3"/>
      <x:c r="U63" s="3"/>
      <x:c r="V63" s="3"/>
      <x:c r="W63" s="3"/>
    </x:row>
    <x:row r="64" ht="19" customHeight="1">
      <x:c r="A64" s="2"/>
      <x:c r="B64" s="2"/>
      <x:c r="C64" s="2"/>
      <x:c r="D64" s="3"/>
      <x:c r="E64" s="3"/>
      <x:c r="F64" s="3"/>
      <x:c r="G64" s="3"/>
      <x:c r="H64" s="3"/>
      <x:c r="I64" s="3"/>
      <x:c r="J64" s="3"/>
      <x:c r="K64" s="3"/>
      <x:c r="L64" s="3"/>
      <x:c r="M64" s="3"/>
      <x:c r="N64" s="3"/>
      <x:c r="O64" s="3"/>
      <x:c r="P64" s="3"/>
      <x:c r="Q64" s="3"/>
      <x:c r="R64" s="3"/>
      <x:c r="S64" s="3"/>
      <x:c r="T64" s="3"/>
      <x:c r="U64" s="3"/>
      <x:c r="V64" s="3"/>
      <x:c r="W64" s="3"/>
    </x:row>
    <x:row r="65" ht="19" customHeight="1">
      <x:c r="A65" s="2"/>
      <x:c r="B65" s="2"/>
      <x:c r="C65" s="2"/>
      <x:c r="D65" s="3"/>
      <x:c r="E65" s="3"/>
      <x:c r="F65" s="3"/>
      <x:c r="G65" s="3"/>
      <x:c r="H65" s="3"/>
      <x:c r="I65" s="3"/>
      <x:c r="J65" s="3"/>
      <x:c r="K65" s="3"/>
      <x:c r="L65" s="3"/>
      <x:c r="M65" s="3"/>
      <x:c r="N65" s="3"/>
      <x:c r="O65" s="3"/>
      <x:c r="P65" s="3"/>
      <x:c r="Q65" s="3"/>
      <x:c r="R65" s="3"/>
      <x:c r="S65" s="3"/>
      <x:c r="T65" s="3"/>
      <x:c r="U65" s="3"/>
      <x:c r="V65" s="3"/>
      <x:c r="W65" s="3"/>
    </x:row>
    <x:row r="66" ht="19" customHeight="1">
      <x:c r="A66" s="2"/>
      <x:c r="B66" s="2"/>
      <x:c r="C66" s="2"/>
      <x:c r="D66" s="3"/>
      <x:c r="E66" s="3"/>
      <x:c r="F66" s="3"/>
      <x:c r="G66" s="3"/>
      <x:c r="H66" s="3"/>
      <x:c r="I66" s="3"/>
      <x:c r="J66" s="3"/>
      <x:c r="K66" s="3"/>
      <x:c r="L66" s="3"/>
      <x:c r="M66" s="3"/>
      <x:c r="N66" s="3"/>
      <x:c r="O66" s="3"/>
      <x:c r="P66" s="3"/>
      <x:c r="Q66" s="3"/>
      <x:c r="R66" s="3"/>
      <x:c r="S66" s="3"/>
      <x:c r="T66" s="3"/>
      <x:c r="U66" s="3"/>
      <x:c r="V66" s="3"/>
      <x:c r="W66" s="3"/>
    </x:row>
    <x:row r="67" ht="19" customHeight="1">
      <x:c r="A67" s="2"/>
      <x:c r="B67" s="2"/>
      <x:c r="C67" s="2"/>
      <x:c r="D67" s="3"/>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2"/>
      <x:c r="D69" s="3"/>
      <x:c r="E69" s="3"/>
      <x:c r="F69" s="3"/>
      <x:c r="G69" s="3"/>
      <x:c r="H69" s="3"/>
      <x:c r="I69" s="3"/>
      <x:c r="J69" s="3"/>
      <x:c r="K69" s="3"/>
      <x:c r="L69" s="3"/>
      <x:c r="M69" s="3"/>
      <x:c r="N69" s="3"/>
      <x:c r="O69" s="3"/>
      <x:c r="P69" s="3"/>
      <x:c r="Q69" s="3"/>
      <x:c r="R69" s="3"/>
      <x:c r="S69" s="3"/>
      <x:c r="T69" s="3"/>
      <x:c r="U69" s="3"/>
      <x:c r="V69" s="3"/>
      <x:c r="W69" s="3"/>
    </x:row>
    <x:row r="70" ht="19" customHeight="1">
      <x:c r="A70" s="2"/>
      <x:c r="B70" s="2"/>
      <x:c r="C70" s="2"/>
      <x:c r="D70" s="3"/>
      <x:c r="E70" s="3"/>
      <x:c r="F70" s="3"/>
      <x:c r="G70" s="3"/>
      <x:c r="H70" s="3"/>
      <x:c r="I70" s="3"/>
      <x:c r="J70" s="3"/>
      <x:c r="K70" s="3"/>
      <x:c r="L70" s="3"/>
      <x:c r="M70" s="3"/>
      <x:c r="N70" s="3"/>
      <x:c r="O70" s="3"/>
      <x:c r="P70" s="3"/>
      <x:c r="Q70" s="3"/>
      <x:c r="R70" s="3"/>
      <x:c r="S70" s="3"/>
      <x:c r="T70" s="3"/>
      <x:c r="U70" s="3"/>
      <x:c r="V70" s="3"/>
      <x:c r="W70" s="3"/>
    </x:row>
    <x:row r="71" ht="19" customHeight="1">
      <x:c r="A71" s="2"/>
      <x:c r="B71" s="2"/>
      <x:c r="C71" s="2"/>
      <x:c r="D71" s="3"/>
      <x:c r="E71" s="3"/>
      <x:c r="F71" s="3"/>
      <x:c r="G71" s="3"/>
      <x:c r="H71" s="3"/>
      <x:c r="I71" s="3"/>
      <x:c r="J71" s="3"/>
      <x:c r="K71" s="3"/>
      <x:c r="L71" s="3"/>
      <x:c r="M71" s="3"/>
      <x:c r="N71" s="3"/>
      <x:c r="O71" s="3"/>
      <x:c r="P71" s="3"/>
      <x:c r="Q71" s="3"/>
      <x:c r="R71" s="3"/>
      <x:c r="S71" s="3"/>
      <x:c r="T71" s="3"/>
      <x:c r="U71" s="3"/>
      <x:c r="V71" s="3"/>
      <x:c r="W71" s="3"/>
    </x:row>
    <x:row r="72" ht="19" customHeight="1">
      <x:c r="A72" s="2"/>
      <x:c r="B72" s="2"/>
      <x:c r="C72" s="2"/>
      <x:c r="D72" s="3"/>
      <x:c r="E72" s="3"/>
      <x:c r="F72" s="3"/>
      <x:c r="G72" s="3"/>
      <x:c r="H72" s="3"/>
      <x:c r="I72" s="3"/>
      <x:c r="J72" s="3"/>
      <x:c r="K72" s="3"/>
      <x:c r="L72" s="3"/>
      <x:c r="M72" s="3"/>
      <x:c r="N72" s="3"/>
      <x:c r="O72" s="3"/>
      <x:c r="P72" s="3"/>
      <x:c r="Q72" s="3"/>
      <x:c r="R72" s="3"/>
      <x:c r="S72" s="3"/>
      <x:c r="T72" s="3"/>
      <x:c r="U72" s="3"/>
      <x:c r="V72" s="3"/>
      <x:c r="W72" s="3"/>
    </x:row>
    <x:row r="73" ht="19" customHeight="1">
      <x:c r="A73" s="2"/>
      <x:c r="B73" s="2"/>
      <x:c r="C73" s="2"/>
      <x:c r="D73" s="3"/>
      <x:c r="E73" s="3"/>
      <x:c r="F73" s="3"/>
      <x:c r="G73" s="3"/>
      <x:c r="H73" s="3"/>
      <x:c r="I73" s="3"/>
      <x:c r="J73" s="3"/>
      <x:c r="K73" s="3"/>
      <x:c r="L73" s="3"/>
      <x:c r="M73" s="3"/>
      <x:c r="N73" s="3"/>
      <x:c r="O73" s="3"/>
      <x:c r="P73" s="3"/>
      <x:c r="Q73" s="3"/>
      <x:c r="R73" s="3"/>
      <x:c r="S73" s="3"/>
      <x:c r="T73" s="3"/>
      <x:c r="U73" s="3"/>
      <x:c r="V73" s="3"/>
      <x:c r="W73" s="3"/>
    </x:row>
    <x:row r="74" ht="19" customHeight="1">
      <x:c r="A74" s="2"/>
      <x:c r="B74" s="2"/>
      <x:c r="C74" s="2"/>
      <x:c r="D74" s="3"/>
      <x:c r="E74" s="3"/>
      <x:c r="F74" s="3"/>
      <x:c r="G74" s="3"/>
      <x:c r="H74" s="3"/>
      <x:c r="I74" s="3"/>
      <x:c r="J74" s="3"/>
      <x:c r="K74" s="3"/>
      <x:c r="L74" s="3"/>
      <x:c r="M74" s="3"/>
      <x:c r="N74" s="3"/>
      <x:c r="O74" s="3"/>
      <x:c r="P74" s="3"/>
      <x:c r="Q74" s="3"/>
      <x:c r="R74" s="3"/>
      <x:c r="S74" s="3"/>
      <x:c r="T74" s="3"/>
      <x:c r="U74" s="3"/>
      <x:c r="V74" s="3"/>
      <x:c r="W74" s="3"/>
    </x:row>
    <x:row r="75" ht="19" customHeight="1">
      <x:c r="A75" s="2"/>
      <x:c r="B75" s="2"/>
      <x:c r="C75" s="2"/>
      <x:c r="D75" s="3"/>
      <x:c r="E75" s="3"/>
      <x:c r="F75" s="3"/>
      <x:c r="G75" s="3"/>
      <x:c r="H75" s="3"/>
      <x:c r="I75" s="3"/>
      <x:c r="J75" s="3"/>
      <x:c r="K75" s="3"/>
      <x:c r="L75" s="3"/>
      <x:c r="M75" s="3"/>
      <x:c r="N75" s="3"/>
      <x:c r="O75" s="3"/>
      <x:c r="P75" s="3"/>
      <x:c r="Q75" s="3"/>
      <x:c r="R75" s="3"/>
      <x:c r="S75" s="3"/>
      <x:c r="T75" s="3"/>
      <x:c r="U75" s="3"/>
      <x:c r="V75" s="3"/>
      <x:c r="W75" s="3"/>
    </x:row>
    <x:row r="76" ht="19" customHeight="1">
      <x:c r="A76" s="2"/>
      <x:c r="B76" s="2"/>
      <x:c r="C76" s="2"/>
      <x:c r="D76" s="3"/>
      <x:c r="E76" s="3"/>
      <x:c r="F76" s="3"/>
      <x:c r="G76" s="3"/>
      <x:c r="H76" s="3"/>
      <x:c r="I76" s="3"/>
      <x:c r="J76" s="3"/>
      <x:c r="K76" s="3"/>
      <x:c r="L76" s="3"/>
      <x:c r="M76" s="3"/>
      <x:c r="N76" s="3"/>
      <x:c r="O76" s="3"/>
      <x:c r="P76" s="3"/>
      <x:c r="Q76" s="3"/>
      <x:c r="R76" s="3"/>
      <x:c r="S76" s="3"/>
      <x:c r="T76" s="3"/>
      <x:c r="U76" s="3"/>
      <x:c r="V76" s="3"/>
      <x:c r="W76" s="3"/>
    </x:row>
    <x:row r="77" ht="19" customHeight="1">
      <x:c r="A77" s="2"/>
      <x:c r="B77" s="2"/>
      <x:c r="C77" s="2"/>
      <x:c r="D77" s="3"/>
      <x:c r="E77" s="3"/>
      <x:c r="F77" s="3"/>
      <x:c r="G77" s="3"/>
      <x:c r="H77" s="3"/>
      <x:c r="I77" s="3"/>
      <x:c r="J77" s="3"/>
      <x:c r="K77" s="3"/>
      <x:c r="L77" s="3"/>
      <x:c r="M77" s="3"/>
      <x:c r="N77" s="3"/>
      <x:c r="O77" s="3"/>
      <x:c r="P77" s="3"/>
      <x:c r="Q77" s="3"/>
      <x:c r="R77" s="3"/>
      <x:c r="S77" s="3"/>
      <x:c r="T77" s="3"/>
      <x:c r="U77" s="3"/>
      <x:c r="V77" s="3"/>
      <x:c r="W77" s="3"/>
    </x:row>
    <x:row r="78" ht="19" customHeight="1">
      <x:c r="A78" s="2"/>
      <x:c r="B78" s="2"/>
      <x:c r="C78" s="2"/>
      <x:c r="D78" s="3"/>
      <x:c r="E78" s="3"/>
      <x:c r="F78" s="3"/>
      <x:c r="G78" s="3"/>
      <x:c r="H78" s="3"/>
      <x:c r="I78" s="3"/>
      <x:c r="J78" s="3"/>
      <x:c r="K78" s="3"/>
      <x:c r="L78" s="3"/>
      <x:c r="M78" s="3"/>
      <x:c r="N78" s="3"/>
      <x:c r="O78" s="3"/>
      <x:c r="P78" s="3"/>
      <x:c r="Q78" s="3"/>
      <x:c r="R78" s="3"/>
      <x:c r="S78" s="3"/>
      <x:c r="T78" s="3"/>
      <x:c r="U78" s="3"/>
      <x:c r="V78" s="3"/>
      <x:c r="W78" s="3"/>
    </x:row>
    <x:row r="79" ht="19" customHeight="1">
      <x:c r="A79" s="2"/>
      <x:c r="B79" s="2"/>
      <x:c r="C79" s="2"/>
      <x:c r="D79" s="3"/>
      <x:c r="E79" s="3"/>
      <x:c r="F79" s="3"/>
      <x:c r="G79" s="3"/>
      <x:c r="H79" s="3"/>
      <x:c r="I79" s="3"/>
      <x:c r="J79" s="3"/>
      <x:c r="K79" s="3"/>
      <x:c r="L79" s="3"/>
      <x:c r="M79" s="3"/>
      <x:c r="N79" s="3"/>
      <x:c r="O79" s="3"/>
      <x:c r="P79" s="3"/>
      <x:c r="Q79" s="3"/>
      <x:c r="R79" s="3"/>
      <x:c r="S79" s="3"/>
      <x:c r="T79" s="3"/>
      <x:c r="U79" s="3"/>
      <x:c r="V79" s="3"/>
      <x:c r="W79" s="3"/>
    </x:row>
    <x:row r="80" ht="19" customHeight="1">
      <x:c r="A80" s="2"/>
      <x:c r="B80" s="2"/>
      <x:c r="C80" s="2"/>
      <x:c r="D80" s="3"/>
      <x:c r="E80" s="3"/>
      <x:c r="F80" s="3"/>
      <x:c r="G80" s="3"/>
      <x:c r="H80" s="3"/>
      <x:c r="I80" s="3"/>
      <x:c r="J80" s="3"/>
      <x:c r="K80" s="3"/>
      <x:c r="L80" s="3"/>
      <x:c r="M80" s="3"/>
      <x:c r="N80" s="3"/>
      <x:c r="O80" s="3"/>
      <x:c r="P80" s="3"/>
      <x:c r="Q80" s="3"/>
      <x:c r="R80" s="3"/>
      <x:c r="S80" s="3"/>
      <x:c r="T80" s="3"/>
      <x:c r="U80" s="3"/>
      <x:c r="V80" s="3"/>
      <x:c r="W80" s="3"/>
    </x:row>
    <x:row r="81" ht="19" customHeight="1">
      <x:c r="A81" s="2"/>
      <x:c r="B81" s="2"/>
      <x:c r="C81" s="2"/>
      <x:c r="D81" s="3"/>
      <x:c r="E81" s="3"/>
      <x:c r="F81" s="3"/>
      <x:c r="G81" s="3"/>
      <x:c r="H81" s="3"/>
      <x:c r="I81" s="3"/>
      <x:c r="J81" s="3"/>
      <x:c r="K81" s="3"/>
      <x:c r="L81" s="3"/>
      <x:c r="M81" s="3"/>
      <x:c r="N81" s="3"/>
      <x:c r="O81" s="3"/>
      <x:c r="P81" s="3"/>
      <x:c r="Q81" s="3"/>
      <x:c r="R81" s="3"/>
      <x:c r="S81" s="3"/>
      <x:c r="T81" s="3"/>
      <x:c r="U81" s="3"/>
      <x:c r="V81" s="3"/>
      <x:c r="W81" s="3"/>
    </x:row>
    <x:row r="82" ht="19" customHeight="1">
      <x:c r="A82" s="2"/>
      <x:c r="B82" s="2"/>
      <x:c r="C82" s="2"/>
      <x:c r="D82" s="3"/>
      <x:c r="E82" s="3"/>
      <x:c r="F82" s="3"/>
      <x:c r="G82" s="3"/>
      <x:c r="H82" s="3"/>
      <x:c r="I82" s="3"/>
      <x:c r="J82" s="3"/>
      <x:c r="K82" s="3"/>
      <x:c r="L82" s="3"/>
      <x:c r="M82" s="3"/>
      <x:c r="N82" s="3"/>
      <x:c r="O82" s="3"/>
      <x:c r="P82" s="3"/>
      <x:c r="Q82" s="3"/>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2"/>
      <x:c r="D85" s="3"/>
      <x:c r="E85" s="3"/>
      <x:c r="F85" s="3"/>
      <x:c r="G85" s="3"/>
      <x:c r="H85" s="3"/>
      <x:c r="I85" s="3"/>
      <x:c r="J85" s="3"/>
      <x:c r="K85" s="3"/>
      <x:c r="L85" s="3"/>
      <x:c r="M85" s="3"/>
      <x:c r="N85" s="3"/>
      <x:c r="O85" s="3"/>
      <x:c r="P85" s="3"/>
      <x:c r="Q85" s="3"/>
      <x:c r="R85" s="3"/>
      <x:c r="S85" s="3"/>
      <x:c r="T85" s="3"/>
      <x:c r="U85" s="3"/>
      <x:c r="V85" s="3"/>
      <x:c r="W85" s="3"/>
    </x:row>
    <x:row r="86" ht="19" customHeight="1">
      <x:c r="A86" s="2"/>
      <x:c r="B86" s="2"/>
      <x:c r="C86" s="2"/>
      <x:c r="D86" s="3"/>
      <x:c r="E86" s="3"/>
      <x:c r="F86" s="3"/>
      <x:c r="G86" s="3"/>
      <x:c r="H86" s="3"/>
      <x:c r="I86" s="3"/>
      <x:c r="J86" s="3"/>
      <x:c r="K86" s="3"/>
      <x:c r="L86" s="3"/>
      <x:c r="M86" s="3"/>
      <x:c r="N86" s="3"/>
      <x:c r="O86" s="3"/>
      <x:c r="P86" s="3"/>
      <x:c r="Q86" s="3"/>
      <x:c r="R86" s="3"/>
      <x:c r="S86" s="3"/>
      <x:c r="T86" s="3"/>
      <x:c r="U86" s="3"/>
      <x:c r="V86" s="3"/>
      <x:c r="W86" s="3"/>
    </x:row>
    <x:row r="87" ht="19" customHeight="1">
      <x:c r="A87" s="2"/>
      <x:c r="B87" s="2"/>
      <x:c r="C87" s="2"/>
      <x:c r="D87" s="3"/>
      <x:c r="E87" s="3"/>
      <x:c r="F87" s="3"/>
      <x:c r="G87" s="3"/>
      <x:c r="H87" s="3"/>
      <x:c r="I87" s="3"/>
      <x:c r="J87" s="3"/>
      <x:c r="K87" s="3"/>
      <x:c r="L87" s="3"/>
      <x:c r="M87" s="3"/>
      <x:c r="N87" s="3"/>
      <x:c r="O87" s="3"/>
      <x:c r="P87" s="3"/>
      <x:c r="Q87" s="3"/>
      <x:c r="R87" s="3"/>
      <x:c r="S87" s="3"/>
      <x:c r="T87" s="3"/>
      <x:c r="U87" s="3"/>
      <x:c r="V87" s="3"/>
      <x:c r="W87" s="3"/>
    </x:row>
    <x:row r="88" ht="19" customHeight="1">
      <x:c r="A88" s="2"/>
      <x:c r="B88" s="2"/>
      <x:c r="C88" s="2"/>
      <x:c r="D88" s="3"/>
      <x:c r="E88" s="3"/>
      <x:c r="F88" s="3"/>
      <x:c r="G88" s="3"/>
      <x:c r="H88" s="3"/>
      <x:c r="I88" s="3"/>
      <x:c r="J88" s="3"/>
      <x:c r="K88" s="3"/>
      <x:c r="L88" s="3"/>
      <x:c r="M88" s="3"/>
      <x:c r="N88" s="3"/>
      <x:c r="O88" s="3"/>
      <x:c r="P88" s="3"/>
      <x:c r="Q88" s="3"/>
      <x:c r="R88" s="3"/>
      <x:c r="S88" s="3"/>
      <x:c r="T88" s="3"/>
      <x:c r="U88" s="3"/>
      <x:c r="V88" s="3"/>
      <x:c r="W88" s="3"/>
    </x:row>
    <x:row r="89" ht="19" customHeight="1">
      <x:c r="A89" s="2"/>
      <x:c r="B89" s="2"/>
      <x:c r="C89" s="2"/>
      <x:c r="D89" s="3"/>
      <x:c r="E89" s="3"/>
      <x:c r="F89" s="3"/>
      <x:c r="G89" s="3"/>
      <x:c r="H89" s="3"/>
      <x:c r="I89" s="3"/>
      <x:c r="J89" s="3"/>
      <x:c r="K89" s="3"/>
      <x:c r="L89" s="3"/>
      <x:c r="M89" s="3"/>
      <x:c r="N89" s="3"/>
      <x:c r="O89" s="3"/>
      <x:c r="P89" s="3"/>
      <x:c r="Q89" s="3"/>
      <x:c r="R89" s="3"/>
      <x:c r="S89" s="3"/>
      <x:c r="T89" s="3"/>
      <x:c r="U89" s="3"/>
      <x:c r="V89" s="3"/>
      <x:c r="W89" s="3"/>
    </x:row>
    <x:row r="90" ht="19" customHeight="1">
      <x:c r="A90" s="2"/>
      <x:c r="B90" s="2"/>
      <x:c r="C90" s="2"/>
      <x:c r="D90" s="3"/>
      <x:c r="E90" s="3"/>
      <x:c r="F90" s="3"/>
      <x:c r="G90" s="3"/>
      <x:c r="H90" s="3"/>
      <x:c r="I90" s="3"/>
      <x:c r="J90" s="3"/>
      <x:c r="K90" s="3"/>
      <x:c r="L90" s="3"/>
      <x:c r="M90" s="3"/>
      <x:c r="N90" s="3"/>
      <x:c r="O90" s="3"/>
      <x:c r="P90" s="3"/>
      <x:c r="Q90" s="3"/>
      <x:c r="R90" s="3"/>
      <x:c r="S90" s="3"/>
      <x:c r="T90" s="3"/>
      <x:c r="U90" s="3"/>
      <x:c r="V90" s="3"/>
      <x:c r="W90" s="3"/>
    </x:row>
    <x:row r="91" ht="19" customHeight="1">
      <x:c r="A91" s="2"/>
      <x:c r="B91" s="2"/>
      <x:c r="C91" s="2"/>
      <x:c r="D91" s="3"/>
      <x:c r="E91" s="3"/>
      <x:c r="F91" s="3"/>
      <x:c r="G91" s="3"/>
      <x:c r="H91" s="3"/>
      <x:c r="I91" s="3"/>
      <x:c r="J91" s="3"/>
      <x:c r="K91" s="3"/>
      <x:c r="L91" s="3"/>
      <x:c r="M91" s="3"/>
      <x:c r="N91" s="3"/>
      <x:c r="O91" s="3"/>
      <x:c r="P91" s="3"/>
      <x:c r="Q91" s="3"/>
      <x:c r="R91" s="3"/>
      <x:c r="S91" s="3"/>
      <x:c r="T91" s="3"/>
      <x:c r="U91" s="3"/>
      <x:c r="V91" s="3"/>
      <x:c r="W91" s="3"/>
    </x:row>
    <x:row r="92" ht="19" customHeight="1">
      <x:c r="A92" s="2"/>
      <x:c r="B92" s="2"/>
      <x:c r="C92" s="2"/>
      <x:c r="D92" s="3"/>
      <x:c r="E92" s="3"/>
      <x:c r="F92" s="3"/>
      <x:c r="G92" s="3"/>
      <x:c r="H92" s="3"/>
      <x:c r="I92" s="3"/>
      <x:c r="J92" s="3"/>
      <x:c r="K92" s="3"/>
      <x:c r="L92" s="3"/>
      <x:c r="M92" s="3"/>
      <x:c r="N92" s="3"/>
      <x:c r="O92" s="3"/>
      <x:c r="P92" s="3"/>
      <x:c r="Q92" s="3"/>
      <x:c r="R92" s="3"/>
      <x:c r="S92" s="3"/>
      <x:c r="T92" s="3"/>
      <x:c r="U92" s="3"/>
      <x:c r="V92" s="3"/>
      <x:c r="W92" s="3"/>
    </x:row>
    <x:row r="93" ht="19" customHeight="1">
      <x:c r="A93" s="2"/>
      <x:c r="B93" s="2"/>
      <x:c r="C93" s="2"/>
      <x:c r="D93" s="3"/>
      <x:c r="E93" s="3"/>
      <x:c r="F93" s="3"/>
      <x:c r="G93" s="3"/>
      <x:c r="H93" s="3"/>
      <x:c r="I93" s="3"/>
      <x:c r="J93" s="3"/>
      <x:c r="K93" s="3"/>
      <x:c r="L93" s="3"/>
      <x:c r="M93" s="3"/>
      <x:c r="N93" s="3"/>
      <x:c r="O93" s="3"/>
      <x:c r="P93" s="3"/>
      <x:c r="Q93" s="3"/>
      <x:c r="R93" s="3"/>
      <x:c r="S93" s="3"/>
      <x:c r="T93" s="3"/>
      <x:c r="U93" s="3"/>
      <x:c r="V93" s="3"/>
      <x:c r="W93" s="3"/>
    </x:row>
    <x:row r="94" ht="19" customHeight="1">
      <x:c r="A94" s="2"/>
      <x:c r="B94" s="2"/>
      <x:c r="C94" s="2"/>
      <x:c r="D94" s="3"/>
      <x:c r="E94" s="3"/>
      <x:c r="F94" s="3"/>
      <x:c r="G94" s="3"/>
      <x:c r="H94" s="3"/>
      <x:c r="I94" s="3"/>
      <x:c r="J94" s="3"/>
      <x:c r="K94" s="3"/>
      <x:c r="L94" s="3"/>
      <x:c r="M94" s="3"/>
      <x:c r="N94" s="3"/>
      <x:c r="O94" s="3"/>
      <x:c r="P94" s="3"/>
      <x:c r="Q94" s="3"/>
      <x:c r="R94" s="3"/>
      <x:c r="S94" s="3"/>
      <x:c r="T94" s="3"/>
      <x:c r="U94" s="3"/>
      <x:c r="V94" s="3"/>
      <x:c r="W94" s="3"/>
    </x:row>
    <x:row r="95" ht="19" customHeight="1">
      <x:c r="A95" s="2"/>
      <x:c r="B95" s="2"/>
      <x:c r="C95" s="2"/>
      <x:c r="D95" s="3"/>
      <x:c r="E95" s="3"/>
      <x:c r="F95" s="3"/>
      <x:c r="G95" s="3"/>
      <x:c r="H95" s="3"/>
      <x:c r="I95" s="3"/>
      <x:c r="J95" s="3"/>
      <x:c r="K95" s="3"/>
      <x:c r="L95" s="3"/>
      <x:c r="M95" s="3"/>
      <x:c r="N95" s="3"/>
      <x:c r="O95" s="3"/>
      <x:c r="P95" s="3"/>
      <x:c r="Q95" s="3"/>
      <x:c r="R95" s="3"/>
      <x:c r="S95" s="3"/>
      <x:c r="T95" s="3"/>
      <x:c r="U95" s="3"/>
      <x:c r="V95" s="3"/>
      <x:c r="W95" s="3"/>
    </x:row>
    <x:row r="96" ht="19" customHeight="1">
      <x:c r="A96" s="2"/>
      <x:c r="B96" s="2"/>
      <x:c r="C96" s="2"/>
      <x:c r="D96" s="3"/>
      <x:c r="E96" s="3"/>
      <x:c r="F96" s="3"/>
      <x:c r="G96" s="3"/>
      <x:c r="H96" s="3"/>
      <x:c r="I96" s="3"/>
      <x:c r="J96" s="3"/>
      <x:c r="K96" s="3"/>
      <x:c r="L96" s="3"/>
      <x:c r="M96" s="3"/>
      <x:c r="N96" s="3"/>
      <x:c r="O96" s="3"/>
      <x:c r="P96" s="3"/>
      <x:c r="Q96" s="3"/>
      <x:c r="R96" s="3"/>
      <x:c r="S96" s="3"/>
      <x:c r="T96" s="3"/>
      <x:c r="U96" s="3"/>
      <x:c r="V96" s="3"/>
      <x:c r="W96" s="3"/>
    </x:row>
    <x:row r="97" ht="19" customHeight="1">
      <x:c r="A97" s="2"/>
      <x:c r="B97" s="2"/>
      <x:c r="C97" s="2"/>
      <x:c r="D97" s="3"/>
      <x:c r="E97" s="3"/>
      <x:c r="F97" s="3"/>
      <x:c r="G97" s="3"/>
      <x:c r="H97" s="3"/>
      <x:c r="I97" s="3"/>
      <x:c r="J97" s="3"/>
      <x:c r="K97" s="3"/>
      <x:c r="L97" s="3"/>
      <x:c r="M97" s="3"/>
      <x:c r="N97" s="3"/>
      <x:c r="O97" s="3"/>
      <x:c r="P97" s="3"/>
      <x:c r="Q97" s="3"/>
      <x:c r="R97" s="3"/>
      <x:c r="S97" s="3"/>
      <x:c r="T97" s="3"/>
      <x:c r="U97" s="3"/>
      <x:c r="V97" s="3"/>
      <x:c r="W97" s="3"/>
    </x:row>
    <x:row r="98" ht="19" customHeight="1">
      <x:c r="A98" s="2"/>
      <x:c r="B98" s="2"/>
      <x:c r="C98" s="2"/>
      <x:c r="D98" s="3"/>
      <x:c r="E98" s="3"/>
      <x:c r="F98" s="3"/>
      <x:c r="G98" s="3"/>
      <x:c r="H98" s="3"/>
      <x:c r="I98" s="3"/>
      <x:c r="J98" s="3"/>
      <x:c r="K98" s="3"/>
      <x:c r="L98" s="3"/>
      <x:c r="M98" s="3"/>
      <x:c r="N98" s="3"/>
      <x:c r="O98" s="3"/>
      <x:c r="P98" s="3"/>
      <x:c r="Q98" s="3"/>
      <x:c r="R98" s="3"/>
      <x:c r="S98" s="3"/>
      <x:c r="T98" s="3"/>
      <x:c r="U98" s="3"/>
      <x:c r="V98" s="3"/>
      <x:c r="W98" s="3"/>
    </x:row>
    <x:row r="99" ht="19" customHeight="1">
      <x:c r="A99" s="2"/>
      <x:c r="B99" s="2"/>
      <x:c r="C99" s="2"/>
      <x:c r="D99" s="3"/>
      <x:c r="E99" s="3"/>
      <x:c r="F99" s="3"/>
      <x:c r="G99" s="3"/>
      <x:c r="H99" s="3"/>
      <x:c r="I99" s="3"/>
      <x:c r="J99" s="3"/>
      <x:c r="K99" s="3"/>
      <x:c r="L99" s="3"/>
      <x:c r="M99" s="3"/>
      <x:c r="N99" s="3"/>
      <x:c r="O99" s="3"/>
      <x:c r="P99" s="3"/>
      <x:c r="Q99" s="3"/>
      <x:c r="R99" s="3"/>
      <x:c r="S99" s="3"/>
      <x:c r="T99" s="3"/>
      <x:c r="U99" s="3"/>
      <x:c r="V99" s="3"/>
      <x:c r="W99" s="3"/>
    </x:row>
    <x:row r="100" ht="19" customHeight="1">
      <x:c r="A100" s="2"/>
      <x:c r="B100" s="2"/>
      <x:c r="C100" s="2"/>
      <x:c r="D100" s="3"/>
      <x:c r="E100" s="3"/>
      <x:c r="F100" s="3"/>
      <x:c r="G100" s="3"/>
      <x:c r="H100" s="3"/>
      <x:c r="I100" s="3"/>
      <x:c r="J100" s="3"/>
      <x:c r="K100" s="3"/>
      <x:c r="L100" s="3"/>
      <x:c r="M100" s="3"/>
      <x:c r="N100" s="3"/>
      <x:c r="O100" s="3"/>
      <x:c r="P100" s="3"/>
      <x:c r="Q100" s="3"/>
      <x:c r="R100" s="3"/>
      <x:c r="S100" s="3"/>
      <x:c r="T100" s="3"/>
      <x:c r="U100" s="3"/>
      <x:c r="V100" s="3"/>
      <x:c r="W100" s="3"/>
    </x:row>
  </x:sheetData>
  <x:conditionalFormatting sqref="D38:F42">
    <x:cfRule type="cellIs" dxfId="5" priority="4" operator="notBetween">
      <x:formula>-0.005</x:formula>
      <x:formula>0.005</x:formula>
    </x:cfRule>
  </x:conditionalFormatting>
  <x:conditionalFormatting sqref="D15:J24">
    <x:cfRule type="cellIs" dxfId="4" priority="2" operator="notBetween">
      <x:formula>-0.005</x:formula>
      <x:formula>0.005</x:formula>
    </x:cfRule>
  </x:conditionalFormatting>
  <x:conditionalFormatting sqref="D25:J25">
    <x:cfRule type="cellIs" dxfId="3" priority="6" operator="notBetween">
      <x:formula>-0.1</x:formula>
      <x:formula>0.1</x:formula>
    </x:cfRule>
  </x:conditionalFormatting>
  <x:conditionalFormatting sqref="D27:J33">
    <x:cfRule type="cellIs" dxfId="2" priority="3" operator="notBetween">
      <x:formula>-0.005</x:formula>
      <x:formula>0.005</x:formula>
    </x:cfRule>
  </x:conditionalFormatting>
  <x:conditionalFormatting sqref="D9:Q10">
    <x:cfRule type="cellIs" dxfId="1" priority="1" operator="notBetween">
      <x:formula>-0.005</x:formula>
      <x:formula>0.005</x:formula>
    </x:cfRule>
  </x:conditionalFormatting>
  <x:conditionalFormatting sqref="R47:W55">
    <x:cfRule type="cellIs" dxfId="0" priority="5" operator="notBetween">
      <x:formula>-0.005</x:formula>
      <x:formula>0.005</x:formula>
    </x:cfRule>
  </x:conditionalFormatting>
  <x:pageMargins left="0.7" right="0.7" top="0.75" bottom="0.75" header="0.3" footer="0.3"/>
</x:worksheet>
</file>

<file path=xl/worksheets/sheet6.xml><?xml version="1.0" encoding="utf-8"?>
<x:worksheet xmlns:x="http://schemas.openxmlformats.org/spreadsheetml/2006/main">
  <x:sheetPr>
    <x:tabColor rgb="FFB7ADB6"/>
  </x:sheetPr>
  <x:sheetViews>
    <x:sheetView showGridLines="0" workbookViewId="0"/>
  </x:sheetViews>
  <x:sheetFormatPr baseColWidth="10" defaultColWidth="8.83203125" defaultRowHeight="14"/>
  <x:cols>
    <x:col min="1" max="2" width="2" customWidth="1"/>
    <x:col min="3" max="3" width="32" customWidth="1"/>
    <x:col min="4" max="4" width="110" customWidth="1"/>
    <x:col min="5"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344</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57" customHeight="1">
      <x:c r="A7" s="2"/>
      <x:c r="B7" s="2"/>
      <x:c r="C7" s="21" t="s">
        <x:v>345</x:v>
      </x:c>
      <x:c r="D7" s="57" t="s">
        <x:v>346</x:v>
      </x:c>
      <x:c r="E7" s="3"/>
      <x:c r="F7" s="3"/>
      <x:c r="G7" s="3"/>
      <x:c r="H7" s="3"/>
      <x:c r="I7" s="3"/>
      <x:c r="J7" s="3"/>
      <x:c r="K7" s="3"/>
      <x:c r="L7" s="3"/>
      <x:c r="M7" s="3"/>
      <x:c r="N7" s="3"/>
      <x:c r="O7" s="3"/>
      <x:c r="P7" s="3"/>
      <x:c r="Q7" s="3"/>
      <x:c r="R7" s="3"/>
      <x:c r="S7" s="3"/>
      <x:c r="T7" s="3"/>
      <x:c r="U7" s="3"/>
      <x:c r="V7" s="3"/>
      <x:c r="W7" s="3"/>
    </x:row>
    <x:row r="8" ht="57" customHeight="1">
      <x:c r="A8" s="2"/>
      <x:c r="B8" s="2"/>
      <x:c r="C8" s="21" t="s">
        <x:v>347</x:v>
      </x:c>
      <x:c r="D8" s="57" t="s">
        <x:v>348</x:v>
      </x:c>
      <x:c r="E8" s="3"/>
      <x:c r="F8" s="3"/>
      <x:c r="G8" s="3"/>
      <x:c r="H8" s="3"/>
      <x:c r="I8" s="3"/>
      <x:c r="J8" s="3"/>
      <x:c r="K8" s="3"/>
      <x:c r="L8" s="3"/>
      <x:c r="M8" s="3"/>
      <x:c r="N8" s="3"/>
      <x:c r="O8" s="3"/>
      <x:c r="P8" s="3"/>
      <x:c r="Q8" s="3"/>
      <x:c r="R8" s="3"/>
      <x:c r="S8" s="3"/>
      <x:c r="T8" s="3"/>
      <x:c r="U8" s="3"/>
      <x:c r="V8" s="3"/>
      <x:c r="W8" s="3"/>
    </x:row>
    <x:row r="9" ht="57" customHeight="1">
      <x:c r="A9" s="2"/>
      <x:c r="B9" s="2"/>
      <x:c r="C9" s="21" t="s">
        <x:v>349</x:v>
      </x:c>
      <x:c r="D9" s="57" t="s">
        <x:v>350</x:v>
      </x:c>
      <x:c r="E9" s="3"/>
      <x:c r="F9" s="3"/>
      <x:c r="G9" s="3"/>
      <x:c r="H9" s="3"/>
      <x:c r="I9" s="3"/>
      <x:c r="J9" s="3"/>
      <x:c r="K9" s="3"/>
      <x:c r="L9" s="3"/>
      <x:c r="M9" s="3"/>
      <x:c r="N9" s="3"/>
      <x:c r="O9" s="3"/>
      <x:c r="P9" s="3"/>
      <x:c r="Q9" s="3"/>
      <x:c r="R9" s="3"/>
      <x:c r="S9" s="3"/>
      <x:c r="T9" s="3"/>
      <x:c r="U9" s="3"/>
      <x:c r="V9" s="3"/>
      <x:c r="W9" s="3"/>
    </x:row>
    <x:row r="10" ht="57" customHeight="1">
      <x:c r="A10" s="2"/>
      <x:c r="B10" s="2"/>
      <x:c r="C10" s="21" t="s">
        <x:v>351</x:v>
      </x:c>
      <x:c r="D10" s="57" t="s">
        <x:v>352</x:v>
      </x:c>
      <x:c r="E10" s="3"/>
      <x:c r="F10" s="3"/>
      <x:c r="G10" s="3"/>
      <x:c r="H10" s="3"/>
      <x:c r="I10" s="3"/>
      <x:c r="J10" s="3"/>
      <x:c r="K10" s="3"/>
      <x:c r="L10" s="3"/>
      <x:c r="M10" s="3"/>
      <x:c r="N10" s="3"/>
      <x:c r="O10" s="3"/>
      <x:c r="P10" s="3"/>
      <x:c r="Q10" s="3"/>
      <x:c r="R10" s="3"/>
      <x:c r="S10" s="3"/>
      <x:c r="T10" s="3"/>
      <x:c r="U10" s="3"/>
      <x:c r="V10" s="3"/>
      <x:c r="W10" s="3"/>
    </x:row>
    <x:row r="11" ht="57" customHeight="1">
      <x:c r="A11" s="2"/>
      <x:c r="B11" s="2"/>
      <x:c r="C11" s="21" t="s">
        <x:v>353</x:v>
      </x:c>
      <x:c r="D11" s="57" t="s">
        <x:v>354</x:v>
      </x:c>
      <x:c r="E11" s="3"/>
      <x:c r="F11" s="3"/>
      <x:c r="G11" s="3"/>
      <x:c r="H11" s="3"/>
      <x:c r="I11" s="3"/>
      <x:c r="J11" s="3"/>
      <x:c r="K11" s="3"/>
      <x:c r="L11" s="3"/>
      <x:c r="M11" s="3"/>
      <x:c r="N11" s="3"/>
      <x:c r="O11" s="3"/>
      <x:c r="P11" s="3"/>
      <x:c r="Q11" s="3"/>
      <x:c r="R11" s="3"/>
      <x:c r="S11" s="3"/>
      <x:c r="T11" s="3"/>
      <x:c r="U11" s="3"/>
      <x:c r="V11" s="3"/>
      <x:c r="W11" s="3"/>
    </x:row>
    <x:row r="12" ht="57" customHeight="1">
      <x:c r="A12" s="2"/>
      <x:c r="B12" s="2"/>
      <x:c r="C12" s="21" t="s">
        <x:v>355</x:v>
      </x:c>
      <x:c r="D12" s="57" t="s">
        <x:v>356</x:v>
      </x:c>
      <x:c r="E12" s="3"/>
      <x:c r="F12" s="3"/>
      <x:c r="G12" s="3"/>
      <x:c r="H12" s="3"/>
      <x:c r="I12" s="3"/>
      <x:c r="J12" s="3"/>
      <x:c r="K12" s="3"/>
      <x:c r="L12" s="3"/>
      <x:c r="M12" s="3"/>
      <x:c r="N12" s="3"/>
      <x:c r="O12" s="3"/>
      <x:c r="P12" s="3"/>
      <x:c r="Q12" s="3"/>
      <x:c r="R12" s="3"/>
      <x:c r="S12" s="3"/>
      <x:c r="T12" s="3"/>
      <x:c r="U12" s="3"/>
      <x:c r="V12" s="3"/>
      <x:c r="W12" s="3"/>
    </x:row>
    <x:row r="13" ht="57" customHeight="1">
      <x:c r="A13" s="2"/>
      <x:c r="B13" s="2"/>
      <x:c r="C13" s="21" t="s">
        <x:v>357</x:v>
      </x:c>
      <x:c r="D13" s="57" t="s">
        <x:v>358</x:v>
      </x:c>
      <x:c r="E13" s="3"/>
      <x:c r="F13" s="3"/>
      <x:c r="G13" s="3"/>
      <x:c r="H13" s="3"/>
      <x:c r="I13" s="3"/>
      <x:c r="J13" s="3"/>
      <x:c r="K13" s="3"/>
      <x:c r="L13" s="3"/>
      <x:c r="M13" s="3"/>
      <x:c r="N13" s="3"/>
      <x:c r="O13" s="3"/>
      <x:c r="P13" s="3"/>
      <x:c r="Q13" s="3"/>
      <x:c r="R13" s="3"/>
      <x:c r="S13" s="3"/>
      <x:c r="T13" s="3"/>
      <x:c r="U13" s="3"/>
      <x:c r="V13" s="3"/>
      <x:c r="W13" s="3"/>
    </x:row>
    <x:row r="14" ht="57" customHeight="1">
      <x:c r="A14" s="2"/>
      <x:c r="B14" s="2"/>
      <x:c r="C14" s="21" t="s">
        <x:v>359</x:v>
      </x:c>
      <x:c r="D14" s="57" t="s">
        <x:v>360</x:v>
      </x:c>
      <x:c r="E14" s="3"/>
      <x:c r="F14" s="3"/>
      <x:c r="G14" s="3"/>
      <x:c r="H14" s="3"/>
      <x:c r="I14" s="3"/>
      <x:c r="J14" s="3"/>
      <x:c r="K14" s="3"/>
      <x:c r="L14" s="3"/>
      <x:c r="M14" s="3"/>
      <x:c r="N14" s="3"/>
      <x:c r="O14" s="3"/>
      <x:c r="P14" s="3"/>
      <x:c r="Q14" s="3"/>
      <x:c r="R14" s="3"/>
      <x:c r="S14" s="3"/>
      <x:c r="T14" s="3"/>
      <x:c r="U14" s="3"/>
      <x:c r="V14" s="3"/>
      <x:c r="W14" s="3"/>
    </x:row>
    <x:row r="15" ht="57" customHeight="1">
      <x:c r="A15" s="2"/>
      <x:c r="B15" s="2"/>
      <x:c r="C15" s="21" t="s">
        <x:v>361</x:v>
      </x:c>
      <x:c r="D15" s="57" t="s">
        <x:v>362</x:v>
      </x:c>
      <x:c r="E15" s="3"/>
      <x:c r="F15" s="3"/>
      <x:c r="G15" s="3"/>
      <x:c r="H15" s="3"/>
      <x:c r="I15" s="3"/>
      <x:c r="J15" s="3"/>
      <x:c r="K15" s="3"/>
      <x:c r="L15" s="3"/>
      <x:c r="M15" s="3"/>
      <x:c r="N15" s="3"/>
      <x:c r="O15" s="3"/>
      <x:c r="P15" s="3"/>
      <x:c r="Q15" s="3"/>
      <x:c r="R15" s="3"/>
      <x:c r="S15" s="3"/>
      <x:c r="T15" s="3"/>
      <x:c r="U15" s="3"/>
      <x:c r="V15" s="3"/>
      <x:c r="W15" s="3"/>
    </x:row>
    <x:row r="16" ht="57" customHeight="1">
      <x:c r="A16" s="2"/>
      <x:c r="B16" s="2"/>
      <x:c r="C16" s="21" t="s">
        <x:v>363</x:v>
      </x:c>
      <x:c r="D16" s="57" t="s">
        <x:v>364</x:v>
      </x:c>
      <x:c r="E16" s="3"/>
      <x:c r="F16" s="3"/>
      <x:c r="G16" s="3"/>
      <x:c r="H16" s="3"/>
      <x:c r="I16" s="3"/>
      <x:c r="J16" s="3"/>
      <x:c r="K16" s="3"/>
      <x:c r="L16" s="3"/>
      <x:c r="M16" s="3"/>
      <x:c r="N16" s="3"/>
      <x:c r="O16" s="3"/>
      <x:c r="P16" s="3"/>
      <x:c r="Q16" s="3"/>
      <x:c r="R16" s="3"/>
      <x:c r="S16" s="3"/>
      <x:c r="T16" s="3"/>
      <x:c r="U16" s="3"/>
      <x:c r="V16" s="3"/>
      <x:c r="W16" s="3"/>
    </x:row>
    <x:row r="17" ht="57" customHeight="1">
      <x:c r="A17" s="2"/>
      <x:c r="B17" s="2"/>
      <x:c r="C17" s="21" t="s">
        <x:v>365</x:v>
      </x:c>
      <x:c r="D17" s="57" t="s">
        <x:v>366</x:v>
      </x:c>
      <x:c r="E17" s="3"/>
      <x:c r="F17" s="3"/>
      <x:c r="G17" s="3"/>
      <x:c r="H17" s="3"/>
      <x:c r="I17" s="3"/>
      <x:c r="J17" s="3"/>
      <x:c r="K17" s="3"/>
      <x:c r="L17" s="3"/>
      <x:c r="M17" s="3"/>
      <x:c r="N17" s="3"/>
      <x:c r="O17" s="3"/>
      <x:c r="P17" s="3"/>
      <x:c r="Q17" s="3"/>
      <x:c r="R17" s="3"/>
      <x:c r="S17" s="3"/>
      <x:c r="T17" s="3"/>
      <x:c r="U17" s="3"/>
      <x:c r="V17" s="3"/>
      <x:c r="W17" s="3"/>
    </x:row>
    <x:row r="18" ht="57" customHeight="1">
      <x:c r="A18" s="2"/>
      <x:c r="B18" s="2"/>
      <x:c r="C18" s="21" t="s">
        <x:v>367</x:v>
      </x:c>
      <x:c r="D18" s="57" t="s">
        <x:v>368</x:v>
      </x:c>
      <x:c r="E18" s="3"/>
      <x:c r="F18" s="3"/>
      <x:c r="G18" s="3"/>
      <x:c r="H18" s="3"/>
      <x:c r="I18" s="3"/>
      <x:c r="J18" s="3"/>
      <x:c r="K18" s="3"/>
      <x:c r="L18" s="3"/>
      <x:c r="M18" s="3"/>
      <x:c r="N18" s="3"/>
      <x:c r="O18" s="3"/>
      <x:c r="P18" s="3"/>
      <x:c r="Q18" s="3"/>
      <x:c r="R18" s="3"/>
      <x:c r="S18" s="3"/>
      <x:c r="T18" s="3"/>
      <x:c r="U18" s="3"/>
      <x:c r="V18" s="3"/>
      <x:c r="W18" s="3"/>
    </x:row>
    <x:row r="19" ht="57" customHeight="1">
      <x:c r="A19" s="2"/>
      <x:c r="B19" s="2"/>
      <x:c r="C19" s="21" t="s">
        <x:v>323</x:v>
      </x:c>
      <x:c r="D19" s="57" t="s">
        <x:v>369</x:v>
      </x:c>
      <x:c r="E19" s="3"/>
      <x:c r="F19" s="3"/>
      <x:c r="G19" s="3"/>
      <x:c r="H19" s="3"/>
      <x:c r="I19" s="3"/>
      <x:c r="J19" s="3"/>
      <x:c r="K19" s="3"/>
      <x:c r="L19" s="3"/>
      <x:c r="M19" s="3"/>
      <x:c r="N19" s="3"/>
      <x:c r="O19" s="3"/>
      <x:c r="P19" s="3"/>
      <x:c r="Q19" s="3"/>
      <x:c r="R19" s="3"/>
      <x:c r="S19" s="3"/>
      <x:c r="T19" s="3"/>
      <x:c r="U19" s="3"/>
      <x:c r="V19" s="3"/>
      <x:c r="W19" s="3"/>
    </x:row>
    <x:row r="20" ht="57" customHeight="1">
      <x:c r="A20" s="2"/>
      <x:c r="B20" s="2"/>
      <x:c r="C20" s="21" t="s">
        <x:v>370</x:v>
      </x:c>
      <x:c r="D20" s="57" t="s">
        <x:v>371</x:v>
      </x:c>
      <x:c r="E20" s="3"/>
      <x:c r="F20" s="3"/>
      <x:c r="G20" s="3"/>
      <x:c r="H20" s="3"/>
      <x:c r="I20" s="3"/>
      <x:c r="J20" s="3"/>
      <x:c r="K20" s="3"/>
      <x:c r="L20" s="3"/>
      <x:c r="M20" s="3"/>
      <x:c r="N20" s="3"/>
      <x:c r="O20" s="3"/>
      <x:c r="P20" s="3"/>
      <x:c r="Q20" s="3"/>
      <x:c r="R20" s="3"/>
      <x:c r="S20" s="3"/>
      <x:c r="T20" s="3"/>
      <x:c r="U20" s="3"/>
      <x:c r="V20" s="3"/>
      <x:c r="W20" s="3"/>
    </x:row>
    <x:row r="21" ht="57" customHeight="1">
      <x:c r="A21" s="2"/>
      <x:c r="B21" s="2"/>
      <x:c r="C21" s="21" t="s">
        <x:v>372</x:v>
      </x:c>
      <x:c r="D21" s="57" t="s">
        <x:v>373</x:v>
      </x:c>
      <x:c r="E21" s="3"/>
      <x:c r="F21" s="3"/>
      <x:c r="G21" s="3"/>
      <x:c r="H21" s="3"/>
      <x:c r="I21" s="3"/>
      <x:c r="J21" s="3"/>
      <x:c r="K21" s="3"/>
      <x:c r="L21" s="3"/>
      <x:c r="M21" s="3"/>
      <x:c r="N21" s="3"/>
      <x:c r="O21" s="3"/>
      <x:c r="P21" s="3"/>
      <x:c r="Q21" s="3"/>
      <x:c r="R21" s="3"/>
      <x:c r="S21" s="3"/>
      <x:c r="T21" s="3"/>
      <x:c r="U21" s="3"/>
      <x:c r="V21" s="3"/>
      <x:c r="W21" s="3"/>
    </x:row>
    <x:row r="22" ht="57" customHeight="1">
      <x:c r="A22" s="2"/>
      <x:c r="B22" s="2"/>
      <x:c r="C22" s="21" t="s">
        <x:v>374</x:v>
      </x:c>
      <x:c r="D22" s="57" t="s">
        <x:v>375</x:v>
      </x:c>
      <x:c r="E22" s="3"/>
      <x:c r="F22" s="3"/>
      <x:c r="G22" s="3"/>
      <x:c r="H22" s="3"/>
      <x:c r="I22" s="3"/>
      <x:c r="J22" s="3"/>
      <x:c r="K22" s="3"/>
      <x:c r="L22" s="3"/>
      <x:c r="M22" s="3"/>
      <x:c r="N22" s="3"/>
      <x:c r="O22" s="3"/>
      <x:c r="P22" s="3"/>
      <x:c r="Q22" s="3"/>
      <x:c r="R22" s="3"/>
      <x:c r="S22" s="3"/>
      <x:c r="T22" s="3"/>
      <x:c r="U22" s="3"/>
      <x:c r="V22" s="3"/>
      <x:c r="W22" s="3"/>
    </x:row>
    <x:row r="23" ht="57" customHeight="1">
      <x:c r="A23" s="2"/>
      <x:c r="B23" s="2"/>
      <x:c r="C23" s="21" t="s">
        <x:v>376</x:v>
      </x:c>
      <x:c r="D23" s="57" t="s">
        <x:v>377</x:v>
      </x:c>
      <x:c r="E23" s="3"/>
      <x:c r="F23" s="3"/>
      <x:c r="G23" s="3"/>
      <x:c r="H23" s="3"/>
      <x:c r="I23" s="3"/>
      <x:c r="J23" s="3"/>
      <x:c r="K23" s="3"/>
      <x:c r="L23" s="3"/>
      <x:c r="M23" s="3"/>
      <x:c r="N23" s="3"/>
      <x:c r="O23" s="3"/>
      <x:c r="P23" s="3"/>
      <x:c r="Q23" s="3"/>
      <x:c r="R23" s="3"/>
      <x:c r="S23" s="3"/>
      <x:c r="T23" s="3"/>
      <x:c r="U23" s="3"/>
      <x:c r="V23" s="3"/>
      <x:c r="W23" s="3"/>
    </x:row>
    <x:row r="24" ht="57" customHeight="1">
      <x:c r="A24" s="2"/>
      <x:c r="B24" s="2"/>
      <x:c r="C24" s="21" t="s">
        <x:v>378</x:v>
      </x:c>
      <x:c r="D24" s="57" t="s">
        <x:v>379</x:v>
      </x:c>
      <x:c r="E24" s="3"/>
      <x:c r="F24" s="3"/>
      <x:c r="G24" s="3"/>
      <x:c r="H24" s="3"/>
      <x:c r="I24" s="3"/>
      <x:c r="J24" s="3"/>
      <x:c r="K24" s="3"/>
      <x:c r="L24" s="3"/>
      <x:c r="M24" s="3"/>
      <x:c r="N24" s="3"/>
      <x:c r="O24" s="3"/>
      <x:c r="P24" s="3"/>
      <x:c r="Q24" s="3"/>
      <x:c r="R24" s="3"/>
      <x:c r="S24" s="3"/>
      <x:c r="T24" s="3"/>
      <x:c r="U24" s="3"/>
      <x:c r="V24" s="3"/>
      <x:c r="W24" s="3"/>
    </x:row>
    <x:row r="25" ht="57" customHeight="1">
      <x:c r="A25" s="2"/>
      <x:c r="B25" s="2"/>
      <x:c r="C25" s="21" t="s">
        <x:v>380</x:v>
      </x:c>
      <x:c r="D25" s="57" t="s">
        <x:v>381</x:v>
      </x:c>
      <x:c r="E25" s="3"/>
      <x:c r="F25" s="3"/>
      <x:c r="G25" s="3"/>
      <x:c r="H25" s="3"/>
      <x:c r="I25" s="3"/>
      <x:c r="J25" s="3"/>
      <x:c r="K25" s="3"/>
      <x:c r="L25" s="3"/>
      <x:c r="M25" s="3"/>
      <x:c r="N25" s="3"/>
      <x:c r="O25" s="3"/>
      <x:c r="P25" s="3"/>
      <x:c r="Q25" s="3"/>
      <x:c r="R25" s="3"/>
      <x:c r="S25" s="3"/>
      <x:c r="T25" s="3"/>
      <x:c r="U25" s="3"/>
      <x:c r="V25" s="3"/>
      <x:c r="W25" s="3"/>
    </x:row>
    <x:row r="26" ht="57" customHeight="1">
      <x:c r="A26" s="2"/>
      <x:c r="B26" s="2"/>
      <x:c r="C26" s="21" t="s">
        <x:v>382</x:v>
      </x:c>
      <x:c r="D26" s="57" t="s">
        <x:v>383</x:v>
      </x:c>
      <x:c r="E26" s="3"/>
      <x:c r="F26" s="3"/>
      <x:c r="G26" s="3"/>
      <x:c r="H26" s="3"/>
      <x:c r="I26" s="3"/>
      <x:c r="J26" s="3"/>
      <x:c r="K26" s="3"/>
      <x:c r="L26" s="3"/>
      <x:c r="M26" s="3"/>
      <x:c r="N26" s="3"/>
      <x:c r="O26" s="3"/>
      <x:c r="P26" s="3"/>
      <x:c r="Q26" s="3"/>
      <x:c r="R26" s="3"/>
      <x:c r="S26" s="3"/>
      <x:c r="T26" s="3"/>
      <x:c r="U26" s="3"/>
      <x:c r="V26" s="3"/>
      <x:c r="W26" s="3"/>
    </x:row>
    <x:row r="27" ht="57" customHeight="1">
      <x:c r="A27" s="2"/>
      <x:c r="B27" s="2"/>
      <x:c r="C27" s="21" t="s">
        <x:v>384</x:v>
      </x:c>
      <x:c r="D27" s="57" t="s">
        <x:v>385</x:v>
      </x:c>
      <x:c r="E27" s="3"/>
      <x:c r="F27" s="3"/>
      <x:c r="G27" s="3"/>
      <x:c r="H27" s="3"/>
      <x:c r="I27" s="3"/>
      <x:c r="J27" s="3"/>
      <x:c r="K27" s="3"/>
      <x:c r="L27" s="3"/>
      <x:c r="M27" s="3"/>
      <x:c r="N27" s="3"/>
      <x:c r="O27" s="3"/>
      <x:c r="P27" s="3"/>
      <x:c r="Q27" s="3"/>
      <x:c r="R27" s="3"/>
      <x:c r="S27" s="3"/>
      <x:c r="T27" s="3"/>
      <x:c r="U27" s="3"/>
      <x:c r="V27" s="3"/>
      <x:c r="W27" s="3"/>
    </x:row>
    <x:row r="28" ht="57" customHeight="1">
      <x:c r="A28" s="2"/>
      <x:c r="B28" s="2"/>
      <x:c r="C28" s="21" t="s">
        <x:v>386</x:v>
      </x:c>
      <x:c r="D28" s="57" t="s">
        <x:v>387</x:v>
      </x:c>
      <x:c r="E28" s="3"/>
      <x:c r="F28" s="3"/>
      <x:c r="G28" s="3"/>
      <x:c r="H28" s="3"/>
      <x:c r="I28" s="3"/>
      <x:c r="J28" s="3"/>
      <x:c r="K28" s="3"/>
      <x:c r="L28" s="3"/>
      <x:c r="M28" s="3"/>
      <x:c r="N28" s="3"/>
      <x:c r="O28" s="3"/>
      <x:c r="P28" s="3"/>
      <x:c r="Q28" s="3"/>
      <x:c r="R28" s="3"/>
      <x:c r="S28" s="3"/>
      <x:c r="T28" s="3"/>
      <x:c r="U28" s="3"/>
      <x:c r="V28" s="3"/>
      <x:c r="W28" s="3"/>
    </x:row>
    <x:row r="29" ht="19" customHeight="1">
      <x:c r="A29" s="2"/>
      <x:c r="B29" s="2"/>
      <x:c r="C29" s="2"/>
      <x:c r="D29" s="3"/>
      <x:c r="E29" s="3"/>
      <x:c r="F29" s="3"/>
      <x:c r="G29" s="3"/>
      <x:c r="H29" s="3"/>
      <x:c r="I29" s="3"/>
      <x:c r="J29" s="3"/>
      <x:c r="K29" s="3"/>
      <x:c r="L29" s="3"/>
      <x:c r="M29" s="3"/>
      <x:c r="N29" s="3"/>
      <x:c r="O29" s="3"/>
      <x:c r="P29" s="3"/>
      <x:c r="Q29" s="3"/>
      <x:c r="R29" s="3"/>
      <x:c r="S29" s="3"/>
      <x:c r="T29" s="3"/>
      <x:c r="U29" s="3"/>
      <x:c r="V29" s="3"/>
      <x:c r="W29" s="3"/>
    </x:row>
    <x:row r="30" ht="19" customHeight="1">
      <x:c r="A30" s="2"/>
      <x:c r="B30" s="2"/>
      <x:c r="C30" s="2"/>
      <x:c r="D30" s="3"/>
      <x:c r="E30" s="3"/>
      <x:c r="F30" s="3"/>
      <x:c r="G30" s="3"/>
      <x:c r="H30" s="3"/>
      <x:c r="I30" s="3"/>
      <x:c r="J30" s="3"/>
      <x:c r="K30" s="3"/>
      <x:c r="L30" s="3"/>
      <x:c r="M30" s="3"/>
      <x:c r="N30" s="3"/>
      <x:c r="O30" s="3"/>
      <x:c r="P30" s="3"/>
      <x:c r="Q30" s="3"/>
      <x:c r="R30" s="3"/>
      <x:c r="S30" s="3"/>
      <x:c r="T30" s="3"/>
      <x:c r="U30" s="3"/>
      <x:c r="V30" s="3"/>
      <x:c r="W30" s="3"/>
    </x:row>
    <x:row r="31" ht="19" customHeight="1">
      <x:c r="A31" s="2"/>
      <x:c r="B31" s="2"/>
      <x:c r="C31" s="2"/>
      <x:c r="D31" s="3"/>
      <x:c r="E31" s="3"/>
      <x:c r="F31" s="3"/>
      <x:c r="G31" s="3"/>
      <x:c r="H31" s="3"/>
      <x:c r="I31" s="3"/>
      <x:c r="J31" s="3"/>
      <x:c r="K31" s="3"/>
      <x:c r="L31" s="3"/>
      <x:c r="M31" s="3"/>
      <x:c r="N31" s="3"/>
      <x:c r="O31" s="3"/>
      <x:c r="P31" s="3"/>
      <x:c r="Q31" s="3"/>
      <x:c r="R31" s="3"/>
      <x:c r="S31" s="3"/>
      <x:c r="T31" s="3"/>
      <x:c r="U31" s="3"/>
      <x:c r="V31" s="3"/>
      <x:c r="W31" s="3"/>
    </x:row>
    <x:row r="32" ht="19" customHeight="1">
      <x:c r="A32" s="2"/>
      <x:c r="B32" s="2"/>
      <x:c r="C32" s="2"/>
      <x:c r="D32" s="3"/>
      <x:c r="E32" s="3"/>
      <x:c r="F32" s="3"/>
      <x:c r="G32" s="3"/>
      <x:c r="H32" s="3"/>
      <x:c r="I32" s="3"/>
      <x:c r="J32" s="3"/>
      <x:c r="K32" s="3"/>
      <x:c r="L32" s="3"/>
      <x:c r="M32" s="3"/>
      <x:c r="N32" s="3"/>
      <x:c r="O32" s="3"/>
      <x:c r="P32" s="3"/>
      <x:c r="Q32" s="3"/>
      <x:c r="R32" s="3"/>
      <x:c r="S32" s="3"/>
      <x:c r="T32" s="3"/>
      <x:c r="U32" s="3"/>
      <x:c r="V32" s="3"/>
      <x:c r="W32" s="3"/>
    </x:row>
    <x:row r="33" ht="19" customHeight="1">
      <x:c r="A33" s="2"/>
      <x:c r="B33" s="2"/>
      <x:c r="C33" s="2"/>
      <x:c r="D33" s="3"/>
      <x:c r="E33" s="3"/>
      <x:c r="F33" s="3"/>
      <x:c r="G33" s="3"/>
      <x:c r="H33" s="3"/>
      <x:c r="I33" s="3"/>
      <x:c r="J33" s="3"/>
      <x:c r="K33" s="3"/>
      <x:c r="L33" s="3"/>
      <x:c r="M33" s="3"/>
      <x:c r="N33" s="3"/>
      <x:c r="O33" s="3"/>
      <x:c r="P33" s="3"/>
      <x:c r="Q33" s="3"/>
      <x:c r="R33" s="3"/>
      <x:c r="S33" s="3"/>
      <x:c r="T33" s="3"/>
      <x:c r="U33" s="3"/>
      <x:c r="V33" s="3"/>
      <x:c r="W33" s="3"/>
    </x:row>
    <x:row r="34" ht="19" customHeight="1">
      <x:c r="A34" s="2"/>
      <x:c r="B34" s="2"/>
      <x:c r="C34" s="2"/>
      <x:c r="D34" s="3"/>
      <x:c r="E34" s="3"/>
      <x:c r="F34" s="3"/>
      <x:c r="G34" s="3"/>
      <x:c r="H34" s="3"/>
      <x:c r="I34" s="3"/>
      <x:c r="J34" s="3"/>
      <x:c r="K34" s="3"/>
      <x:c r="L34" s="3"/>
      <x:c r="M34" s="3"/>
      <x:c r="N34" s="3"/>
      <x:c r="O34" s="3"/>
      <x:c r="P34" s="3"/>
      <x:c r="Q34" s="3"/>
      <x:c r="R34" s="3"/>
      <x:c r="S34" s="3"/>
      <x:c r="T34" s="3"/>
      <x:c r="U34" s="3"/>
      <x:c r="V34" s="3"/>
      <x:c r="W34" s="3"/>
    </x:row>
    <x:row r="35" ht="19" customHeight="1">
      <x:c r="A35" s="2"/>
      <x:c r="B35" s="2"/>
      <x:c r="C35" s="2"/>
      <x:c r="D35" s="3"/>
      <x:c r="E35" s="3"/>
      <x:c r="F35" s="3"/>
      <x:c r="G35" s="3"/>
      <x:c r="H35" s="3"/>
      <x:c r="I35" s="3"/>
      <x:c r="J35" s="3"/>
      <x:c r="K35" s="3"/>
      <x:c r="L35" s="3"/>
      <x:c r="M35" s="3"/>
      <x:c r="N35" s="3"/>
      <x:c r="O35" s="3"/>
      <x:c r="P35" s="3"/>
      <x:c r="Q35" s="3"/>
      <x:c r="R35" s="3"/>
      <x:c r="S35" s="3"/>
      <x:c r="T35" s="3"/>
      <x:c r="U35" s="3"/>
      <x:c r="V35" s="3"/>
      <x:c r="W35" s="3"/>
    </x:row>
    <x:row r="36" ht="19" customHeight="1">
      <x:c r="A36" s="2"/>
      <x:c r="B36" s="2"/>
      <x:c r="C36" s="2"/>
      <x:c r="D36" s="3"/>
      <x:c r="E36" s="3"/>
      <x:c r="F36" s="3"/>
      <x:c r="G36" s="3"/>
      <x:c r="H36" s="3"/>
      <x:c r="I36" s="3"/>
      <x:c r="J36" s="3"/>
      <x:c r="K36" s="3"/>
      <x:c r="L36" s="3"/>
      <x:c r="M36" s="3"/>
      <x:c r="N36" s="3"/>
      <x:c r="O36" s="3"/>
      <x:c r="P36" s="3"/>
      <x:c r="Q36" s="3"/>
      <x:c r="R36" s="3"/>
      <x:c r="S36" s="3"/>
      <x:c r="T36" s="3"/>
      <x:c r="U36" s="3"/>
      <x:c r="V36" s="3"/>
      <x:c r="W36" s="3"/>
    </x:row>
    <x:row r="37" ht="19" customHeight="1">
      <x:c r="A37" s="2"/>
      <x:c r="B37" s="2"/>
      <x:c r="C37" s="2"/>
      <x:c r="D37" s="3"/>
      <x:c r="E37" s="3"/>
      <x:c r="F37" s="3"/>
      <x:c r="G37" s="3"/>
      <x:c r="H37" s="3"/>
      <x:c r="I37" s="3"/>
      <x:c r="J37" s="3"/>
      <x:c r="K37" s="3"/>
      <x:c r="L37" s="3"/>
      <x:c r="M37" s="3"/>
      <x:c r="N37" s="3"/>
      <x:c r="O37" s="3"/>
      <x:c r="P37" s="3"/>
      <x:c r="Q37" s="3"/>
      <x:c r="R37" s="3"/>
      <x:c r="S37" s="3"/>
      <x:c r="T37" s="3"/>
      <x:c r="U37" s="3"/>
      <x:c r="V37" s="3"/>
      <x:c r="W37" s="3"/>
    </x:row>
    <x:row r="38" ht="19" customHeight="1">
      <x:c r="A38" s="2"/>
      <x:c r="B38" s="2"/>
      <x:c r="C38" s="2"/>
      <x:c r="D38" s="3"/>
      <x:c r="E38" s="3"/>
      <x:c r="F38" s="3"/>
      <x:c r="G38" s="3"/>
      <x:c r="H38" s="3"/>
      <x:c r="I38" s="3"/>
      <x:c r="J38" s="3"/>
      <x:c r="K38" s="3"/>
      <x:c r="L38" s="3"/>
      <x:c r="M38" s="3"/>
      <x:c r="N38" s="3"/>
      <x:c r="O38" s="3"/>
      <x:c r="P38" s="3"/>
      <x:c r="Q38" s="3"/>
      <x:c r="R38" s="3"/>
      <x:c r="S38" s="3"/>
      <x:c r="T38" s="3"/>
      <x:c r="U38" s="3"/>
      <x:c r="V38" s="3"/>
      <x:c r="W38" s="3"/>
    </x:row>
    <x:row r="39" ht="19" customHeight="1">
      <x:c r="A39" s="2"/>
      <x:c r="B39" s="2"/>
      <x:c r="C39" s="2"/>
      <x:c r="D39" s="3"/>
      <x:c r="E39" s="3"/>
      <x:c r="F39" s="3"/>
      <x:c r="G39" s="3"/>
      <x:c r="H39" s="3"/>
      <x:c r="I39" s="3"/>
      <x:c r="J39" s="3"/>
      <x:c r="K39" s="3"/>
      <x:c r="L39" s="3"/>
      <x:c r="M39" s="3"/>
      <x:c r="N39" s="3"/>
      <x:c r="O39" s="3"/>
      <x:c r="P39" s="3"/>
      <x:c r="Q39" s="3"/>
      <x:c r="R39" s="3"/>
      <x:c r="S39" s="3"/>
      <x:c r="T39" s="3"/>
      <x:c r="U39" s="3"/>
      <x:c r="V39" s="3"/>
      <x:c r="W39" s="3"/>
    </x:row>
    <x:row r="40" ht="19" customHeight="1">
      <x:c r="A40" s="2"/>
      <x:c r="B40" s="2"/>
      <x:c r="C40" s="2"/>
      <x:c r="D40" s="3"/>
      <x:c r="E40" s="3"/>
      <x:c r="F40" s="3"/>
      <x:c r="G40" s="3"/>
      <x:c r="H40" s="3"/>
      <x:c r="I40" s="3"/>
      <x:c r="J40" s="3"/>
      <x:c r="K40" s="3"/>
      <x:c r="L40" s="3"/>
      <x:c r="M40" s="3"/>
      <x:c r="N40" s="3"/>
      <x:c r="O40" s="3"/>
      <x:c r="P40" s="3"/>
      <x:c r="Q40" s="3"/>
      <x:c r="R40" s="3"/>
      <x:c r="S40" s="3"/>
      <x:c r="T40" s="3"/>
      <x:c r="U40" s="3"/>
      <x:c r="V40" s="3"/>
      <x:c r="W40" s="3"/>
    </x:row>
    <x:row r="41" ht="19" customHeight="1">
      <x:c r="A41" s="2"/>
      <x:c r="B41" s="2"/>
      <x:c r="C41" s="2"/>
      <x:c r="D41" s="3"/>
      <x:c r="E41" s="3"/>
      <x:c r="F41" s="3"/>
      <x:c r="G41" s="3"/>
      <x:c r="H41" s="3"/>
      <x:c r="I41" s="3"/>
      <x:c r="J41" s="3"/>
      <x:c r="K41" s="3"/>
      <x:c r="L41" s="3"/>
      <x:c r="M41" s="3"/>
      <x:c r="N41" s="3"/>
      <x:c r="O41" s="3"/>
      <x:c r="P41" s="3"/>
      <x:c r="Q41" s="3"/>
      <x:c r="R41" s="3"/>
      <x:c r="S41" s="3"/>
      <x:c r="T41" s="3"/>
      <x:c r="U41" s="3"/>
      <x:c r="V41" s="3"/>
      <x:c r="W41" s="3"/>
    </x:row>
    <x:row r="42" ht="19" customHeight="1">
      <x:c r="A42" s="2"/>
      <x:c r="B42" s="2"/>
      <x:c r="C42" s="2"/>
      <x:c r="D42" s="3"/>
      <x:c r="E42" s="3"/>
      <x:c r="F42" s="3"/>
      <x:c r="G42" s="3"/>
      <x:c r="H42" s="3"/>
      <x:c r="I42" s="3"/>
      <x:c r="J42" s="3"/>
      <x:c r="K42" s="3"/>
      <x:c r="L42" s="3"/>
      <x:c r="M42" s="3"/>
      <x:c r="N42" s="3"/>
      <x:c r="O42" s="3"/>
      <x:c r="P42" s="3"/>
      <x:c r="Q42" s="3"/>
      <x:c r="R42" s="3"/>
      <x:c r="S42" s="3"/>
      <x:c r="T42" s="3"/>
      <x:c r="U42" s="3"/>
      <x:c r="V42" s="3"/>
      <x:c r="W42" s="3"/>
    </x:row>
    <x:row r="43" ht="19" customHeight="1">
      <x:c r="A43" s="2"/>
      <x:c r="B43" s="2"/>
      <x:c r="C43" s="2"/>
      <x:c r="D43" s="3"/>
      <x:c r="E43" s="3"/>
      <x:c r="F43" s="3"/>
      <x:c r="G43" s="3"/>
      <x:c r="H43" s="3"/>
      <x:c r="I43" s="3"/>
      <x:c r="J43" s="3"/>
      <x:c r="K43" s="3"/>
      <x:c r="L43" s="3"/>
      <x:c r="M43" s="3"/>
      <x:c r="N43" s="3"/>
      <x:c r="O43" s="3"/>
      <x:c r="P43" s="3"/>
      <x:c r="Q43" s="3"/>
      <x:c r="R43" s="3"/>
      <x:c r="S43" s="3"/>
      <x:c r="T43" s="3"/>
      <x:c r="U43" s="3"/>
      <x:c r="V43" s="3"/>
      <x:c r="W43" s="3"/>
    </x:row>
    <x:row r="44" ht="19" customHeight="1">
      <x:c r="A44" s="2"/>
      <x:c r="B44" s="2"/>
      <x:c r="C44" s="2"/>
      <x:c r="D44" s="3"/>
      <x:c r="E44" s="3"/>
      <x:c r="F44" s="3"/>
      <x:c r="G44" s="3"/>
      <x:c r="H44" s="3"/>
      <x:c r="I44" s="3"/>
      <x:c r="J44" s="3"/>
      <x:c r="K44" s="3"/>
      <x:c r="L44" s="3"/>
      <x:c r="M44" s="3"/>
      <x:c r="N44" s="3"/>
      <x:c r="O44" s="3"/>
      <x:c r="P44" s="3"/>
      <x:c r="Q44" s="3"/>
      <x:c r="R44" s="3"/>
      <x:c r="S44" s="3"/>
      <x:c r="T44" s="3"/>
      <x:c r="U44" s="3"/>
      <x:c r="V44" s="3"/>
      <x:c r="W44" s="3"/>
    </x:row>
    <x:row r="45" ht="19" customHeight="1">
      <x:c r="A45" s="2"/>
      <x:c r="B45" s="2"/>
      <x:c r="C45" s="2"/>
      <x:c r="D45" s="3"/>
      <x:c r="E45" s="3"/>
      <x:c r="F45" s="3"/>
      <x:c r="G45" s="3"/>
      <x:c r="H45" s="3"/>
      <x:c r="I45" s="3"/>
      <x:c r="J45" s="3"/>
      <x:c r="K45" s="3"/>
      <x:c r="L45" s="3"/>
      <x:c r="M45" s="3"/>
      <x:c r="N45" s="3"/>
      <x:c r="O45" s="3"/>
      <x:c r="P45" s="3"/>
      <x:c r="Q45" s="3"/>
      <x:c r="R45" s="3"/>
      <x:c r="S45" s="3"/>
      <x:c r="T45" s="3"/>
      <x:c r="U45" s="3"/>
      <x:c r="V45" s="3"/>
      <x:c r="W45" s="3"/>
    </x:row>
    <x:row r="46" ht="19" customHeight="1">
      <x:c r="A46" s="2"/>
      <x:c r="B46" s="2"/>
      <x:c r="C46" s="2"/>
      <x:c r="D46" s="3"/>
      <x:c r="E46" s="3"/>
      <x:c r="F46" s="3"/>
      <x:c r="G46" s="3"/>
      <x:c r="H46" s="3"/>
      <x:c r="I46" s="3"/>
      <x:c r="J46" s="3"/>
      <x:c r="K46" s="3"/>
      <x:c r="L46" s="3"/>
      <x:c r="M46" s="3"/>
      <x:c r="N46" s="3"/>
      <x:c r="O46" s="3"/>
      <x:c r="P46" s="3"/>
      <x:c r="Q46" s="3"/>
      <x:c r="R46" s="3"/>
      <x:c r="S46" s="3"/>
      <x:c r="T46" s="3"/>
      <x:c r="U46" s="3"/>
      <x:c r="V46" s="3"/>
      <x:c r="W46" s="3"/>
    </x:row>
    <x:row r="47" ht="19" customHeight="1">
      <x:c r="A47" s="2"/>
      <x:c r="B47" s="2"/>
      <x:c r="C47" s="2"/>
      <x:c r="D47" s="3"/>
      <x:c r="E47" s="3"/>
      <x:c r="F47" s="3"/>
      <x:c r="G47" s="3"/>
      <x:c r="H47" s="3"/>
      <x:c r="I47" s="3"/>
      <x:c r="J47" s="3"/>
      <x:c r="K47" s="3"/>
      <x:c r="L47" s="3"/>
      <x:c r="M47" s="3"/>
      <x:c r="N47" s="3"/>
      <x:c r="O47" s="3"/>
      <x:c r="P47" s="3"/>
      <x:c r="Q47" s="3"/>
      <x:c r="R47" s="3"/>
      <x:c r="S47" s="3"/>
      <x:c r="T47" s="3"/>
      <x:c r="U47" s="3"/>
      <x:c r="V47" s="3"/>
      <x:c r="W47" s="3"/>
    </x:row>
    <x:row r="48" ht="19" customHeight="1">
      <x:c r="A48" s="2"/>
      <x:c r="B48" s="2"/>
      <x:c r="C48" s="2"/>
      <x:c r="D48" s="3"/>
      <x:c r="E48" s="3"/>
      <x:c r="F48" s="3"/>
      <x:c r="G48" s="3"/>
      <x:c r="H48" s="3"/>
      <x:c r="I48" s="3"/>
      <x:c r="J48" s="3"/>
      <x:c r="K48" s="3"/>
      <x:c r="L48" s="3"/>
      <x:c r="M48" s="3"/>
      <x:c r="N48" s="3"/>
      <x:c r="O48" s="3"/>
      <x:c r="P48" s="3"/>
      <x:c r="Q48" s="3"/>
      <x:c r="R48" s="3"/>
      <x:c r="S48" s="3"/>
      <x:c r="T48" s="3"/>
      <x:c r="U48" s="3"/>
      <x:c r="V48" s="3"/>
      <x:c r="W48" s="3"/>
    </x:row>
    <x:row r="49" ht="19" customHeight="1">
      <x:c r="A49" s="2"/>
      <x:c r="B49" s="2"/>
      <x:c r="C49" s="2"/>
      <x:c r="D49" s="3"/>
      <x:c r="E49" s="3"/>
      <x:c r="F49" s="3"/>
      <x:c r="G49" s="3"/>
      <x:c r="H49" s="3"/>
      <x:c r="I49" s="3"/>
      <x:c r="J49" s="3"/>
      <x:c r="K49" s="3"/>
      <x:c r="L49" s="3"/>
      <x:c r="M49" s="3"/>
      <x:c r="N49" s="3"/>
      <x:c r="O49" s="3"/>
      <x:c r="P49" s="3"/>
      <x:c r="Q49" s="3"/>
      <x:c r="R49" s="3"/>
      <x:c r="S49" s="3"/>
      <x:c r="T49" s="3"/>
      <x:c r="U49" s="3"/>
      <x:c r="V49" s="3"/>
      <x:c r="W49" s="3"/>
    </x:row>
    <x:row r="50" ht="19" customHeight="1">
      <x:c r="A50" s="2"/>
      <x:c r="B50" s="2"/>
      <x:c r="C50" s="2"/>
      <x:c r="D50" s="3"/>
      <x:c r="E50" s="3"/>
      <x:c r="F50" s="3"/>
      <x:c r="G50" s="3"/>
      <x:c r="H50" s="3"/>
      <x:c r="I50" s="3"/>
      <x:c r="J50" s="3"/>
      <x:c r="K50" s="3"/>
      <x:c r="L50" s="3"/>
      <x:c r="M50" s="3"/>
      <x:c r="N50" s="3"/>
      <x:c r="O50" s="3"/>
      <x:c r="P50" s="3"/>
      <x:c r="Q50" s="3"/>
      <x:c r="R50" s="3"/>
      <x:c r="S50" s="3"/>
      <x:c r="T50" s="3"/>
      <x:c r="U50" s="3"/>
      <x:c r="V50" s="3"/>
      <x:c r="W50" s="3"/>
    </x:row>
    <x:row r="51" ht="19" customHeight="1">
      <x:c r="A51" s="2"/>
      <x:c r="B51" s="2"/>
      <x:c r="C51" s="2"/>
      <x:c r="D51" s="3"/>
      <x:c r="E51" s="3"/>
      <x:c r="F51" s="3"/>
      <x:c r="G51" s="3"/>
      <x:c r="H51" s="3"/>
      <x:c r="I51" s="3"/>
      <x:c r="J51" s="3"/>
      <x:c r="K51" s="3"/>
      <x:c r="L51" s="3"/>
      <x:c r="M51" s="3"/>
      <x:c r="N51" s="3"/>
      <x:c r="O51" s="3"/>
      <x:c r="P51" s="3"/>
      <x:c r="Q51" s="3"/>
      <x:c r="R51" s="3"/>
      <x:c r="S51" s="3"/>
      <x:c r="T51" s="3"/>
      <x:c r="U51" s="3"/>
      <x:c r="V51" s="3"/>
      <x:c r="W51" s="3"/>
    </x:row>
    <x:row r="52" ht="19" customHeight="1">
      <x:c r="A52" s="2"/>
      <x:c r="B52" s="2"/>
      <x:c r="C52" s="2"/>
      <x:c r="D52" s="3"/>
      <x:c r="E52" s="3"/>
      <x:c r="F52" s="3"/>
      <x:c r="G52" s="3"/>
      <x:c r="H52" s="3"/>
      <x:c r="I52" s="3"/>
      <x:c r="J52" s="3"/>
      <x:c r="K52" s="3"/>
      <x:c r="L52" s="3"/>
      <x:c r="M52" s="3"/>
      <x:c r="N52" s="3"/>
      <x:c r="O52" s="3"/>
      <x:c r="P52" s="3"/>
      <x:c r="Q52" s="3"/>
      <x:c r="R52" s="3"/>
      <x:c r="S52" s="3"/>
      <x:c r="T52" s="3"/>
      <x:c r="U52" s="3"/>
      <x:c r="V52" s="3"/>
      <x:c r="W52" s="3"/>
    </x:row>
    <x:row r="53" ht="19" customHeight="1">
      <x:c r="A53" s="2"/>
      <x:c r="B53" s="2"/>
      <x:c r="C53" s="2"/>
      <x:c r="D53" s="3"/>
      <x:c r="E53" s="3"/>
      <x:c r="F53" s="3"/>
      <x:c r="G53" s="3"/>
      <x:c r="H53" s="3"/>
      <x:c r="I53" s="3"/>
      <x:c r="J53" s="3"/>
      <x:c r="K53" s="3"/>
      <x:c r="L53" s="3"/>
      <x:c r="M53" s="3"/>
      <x:c r="N53" s="3"/>
      <x:c r="O53" s="3"/>
      <x:c r="P53" s="3"/>
      <x:c r="Q53" s="3"/>
      <x:c r="R53" s="3"/>
      <x:c r="S53" s="3"/>
      <x:c r="T53" s="3"/>
      <x:c r="U53" s="3"/>
      <x:c r="V53" s="3"/>
      <x:c r="W53" s="3"/>
    </x:row>
    <x:row r="54" ht="19" customHeight="1">
      <x:c r="A54" s="2"/>
      <x:c r="B54" s="2"/>
      <x:c r="C54" s="2"/>
      <x:c r="D54" s="3"/>
      <x:c r="E54" s="3"/>
      <x:c r="F54" s="3"/>
      <x:c r="G54" s="3"/>
      <x:c r="H54" s="3"/>
      <x:c r="I54" s="3"/>
      <x:c r="J54" s="3"/>
      <x:c r="K54" s="3"/>
      <x:c r="L54" s="3"/>
      <x:c r="M54" s="3"/>
      <x:c r="N54" s="3"/>
      <x:c r="O54" s="3"/>
      <x:c r="P54" s="3"/>
      <x:c r="Q54" s="3"/>
      <x:c r="R54" s="3"/>
      <x:c r="S54" s="3"/>
      <x:c r="T54" s="3"/>
      <x:c r="U54" s="3"/>
      <x:c r="V54" s="3"/>
      <x:c r="W54" s="3"/>
    </x:row>
    <x:row r="55" ht="19" customHeight="1">
      <x:c r="A55" s="2"/>
      <x:c r="B55" s="2"/>
      <x:c r="C55" s="2"/>
      <x:c r="D55" s="3"/>
      <x:c r="E55" s="3"/>
      <x:c r="F55" s="3"/>
      <x:c r="G55" s="3"/>
      <x:c r="H55" s="3"/>
      <x:c r="I55" s="3"/>
      <x:c r="J55" s="3"/>
      <x:c r="K55" s="3"/>
      <x:c r="L55" s="3"/>
      <x:c r="M55" s="3"/>
      <x:c r="N55" s="3"/>
      <x:c r="O55" s="3"/>
      <x:c r="P55" s="3"/>
      <x:c r="Q55" s="3"/>
      <x:c r="R55" s="3"/>
      <x:c r="S55" s="3"/>
      <x:c r="T55" s="3"/>
      <x:c r="U55" s="3"/>
      <x:c r="V55" s="3"/>
      <x:c r="W55" s="3"/>
    </x:row>
    <x:row r="56" ht="19" customHeight="1">
      <x:c r="A56" s="2"/>
      <x:c r="B56" s="2"/>
      <x:c r="C56" s="2"/>
      <x:c r="D56" s="3"/>
      <x:c r="E56" s="3"/>
      <x:c r="F56" s="3"/>
      <x:c r="G56" s="3"/>
      <x:c r="H56" s="3"/>
      <x:c r="I56" s="3"/>
      <x:c r="J56" s="3"/>
      <x:c r="K56" s="3"/>
      <x:c r="L56" s="3"/>
      <x:c r="M56" s="3"/>
      <x:c r="N56" s="3"/>
      <x:c r="O56" s="3"/>
      <x:c r="P56" s="3"/>
      <x:c r="Q56" s="3"/>
      <x:c r="R56" s="3"/>
      <x:c r="S56" s="3"/>
      <x:c r="T56" s="3"/>
      <x:c r="U56" s="3"/>
      <x:c r="V56" s="3"/>
      <x:c r="W56" s="3"/>
    </x:row>
    <x:row r="57" ht="19" customHeight="1">
      <x:c r="A57" s="2"/>
      <x:c r="B57" s="2"/>
      <x:c r="C57" s="2"/>
      <x:c r="D57" s="3"/>
      <x:c r="E57" s="3"/>
      <x:c r="F57" s="3"/>
      <x:c r="G57" s="3"/>
      <x:c r="H57" s="3"/>
      <x:c r="I57" s="3"/>
      <x:c r="J57" s="3"/>
      <x:c r="K57" s="3"/>
      <x:c r="L57" s="3"/>
      <x:c r="M57" s="3"/>
      <x:c r="N57" s="3"/>
      <x:c r="O57" s="3"/>
      <x:c r="P57" s="3"/>
      <x:c r="Q57" s="3"/>
      <x:c r="R57" s="3"/>
      <x:c r="S57" s="3"/>
      <x:c r="T57" s="3"/>
      <x:c r="U57" s="3"/>
      <x:c r="V57" s="3"/>
      <x:c r="W57" s="3"/>
    </x:row>
    <x:row r="58" ht="19" customHeight="1">
      <x:c r="A58" s="2"/>
      <x:c r="B58" s="2"/>
      <x:c r="C58" s="2"/>
      <x:c r="D58" s="3"/>
      <x:c r="E58" s="3"/>
      <x:c r="F58" s="3"/>
      <x:c r="G58" s="3"/>
      <x:c r="H58" s="3"/>
      <x:c r="I58" s="3"/>
      <x:c r="J58" s="3"/>
      <x:c r="K58" s="3"/>
      <x:c r="L58" s="3"/>
      <x:c r="M58" s="3"/>
      <x:c r="N58" s="3"/>
      <x:c r="O58" s="3"/>
      <x:c r="P58" s="3"/>
      <x:c r="Q58" s="3"/>
      <x:c r="R58" s="3"/>
      <x:c r="S58" s="3"/>
      <x:c r="T58" s="3"/>
      <x:c r="U58" s="3"/>
      <x:c r="V58" s="3"/>
      <x:c r="W58" s="3"/>
    </x:row>
    <x:row r="59" ht="19" customHeight="1">
      <x:c r="A59" s="2"/>
      <x:c r="B59" s="2"/>
      <x:c r="C59" s="2"/>
      <x:c r="D59" s="3"/>
      <x:c r="E59" s="3"/>
      <x:c r="F59" s="3"/>
      <x:c r="G59" s="3"/>
      <x:c r="H59" s="3"/>
      <x:c r="I59" s="3"/>
      <x:c r="J59" s="3"/>
      <x:c r="K59" s="3"/>
      <x:c r="L59" s="3"/>
      <x:c r="M59" s="3"/>
      <x:c r="N59" s="3"/>
      <x:c r="O59" s="3"/>
      <x:c r="P59" s="3"/>
      <x:c r="Q59" s="3"/>
      <x:c r="R59" s="3"/>
      <x:c r="S59" s="3"/>
      <x:c r="T59" s="3"/>
      <x:c r="U59" s="3"/>
      <x:c r="V59" s="3"/>
      <x:c r="W59" s="3"/>
    </x:row>
    <x:row r="60" ht="19" customHeight="1">
      <x:c r="A60" s="2"/>
      <x:c r="B60" s="2"/>
      <x:c r="C60" s="2"/>
      <x:c r="D60" s="3"/>
      <x:c r="E60" s="3"/>
      <x:c r="F60" s="3"/>
      <x:c r="G60" s="3"/>
      <x:c r="H60" s="3"/>
      <x:c r="I60" s="3"/>
      <x:c r="J60" s="3"/>
      <x:c r="K60" s="3"/>
      <x:c r="L60" s="3"/>
      <x:c r="M60" s="3"/>
      <x:c r="N60" s="3"/>
      <x:c r="O60" s="3"/>
      <x:c r="P60" s="3"/>
      <x:c r="Q60" s="3"/>
      <x:c r="R60" s="3"/>
      <x:c r="S60" s="3"/>
      <x:c r="T60" s="3"/>
      <x:c r="U60" s="3"/>
      <x:c r="V60" s="3"/>
      <x:c r="W60" s="3"/>
    </x:row>
    <x:row r="61" ht="19" customHeight="1">
      <x:c r="A61" s="2"/>
      <x:c r="B61" s="2"/>
      <x:c r="C61" s="2"/>
      <x:c r="D61" s="3"/>
      <x:c r="E61" s="3"/>
      <x:c r="F61" s="3"/>
      <x:c r="G61" s="3"/>
      <x:c r="H61" s="3"/>
      <x:c r="I61" s="3"/>
      <x:c r="J61" s="3"/>
      <x:c r="K61" s="3"/>
      <x:c r="L61" s="3"/>
      <x:c r="M61" s="3"/>
      <x:c r="N61" s="3"/>
      <x:c r="O61" s="3"/>
      <x:c r="P61" s="3"/>
      <x:c r="Q61" s="3"/>
      <x:c r="R61" s="3"/>
      <x:c r="S61" s="3"/>
      <x:c r="T61" s="3"/>
      <x:c r="U61" s="3"/>
      <x:c r="V61" s="3"/>
      <x:c r="W61" s="3"/>
    </x:row>
    <x:row r="62" ht="19" customHeight="1">
      <x:c r="A62" s="2"/>
      <x:c r="B62" s="2"/>
      <x:c r="C62" s="2"/>
      <x:c r="D62" s="3"/>
      <x:c r="E62" s="3"/>
      <x:c r="F62" s="3"/>
      <x:c r="G62" s="3"/>
      <x:c r="H62" s="3"/>
      <x:c r="I62" s="3"/>
      <x:c r="J62" s="3"/>
      <x:c r="K62" s="3"/>
      <x:c r="L62" s="3"/>
      <x:c r="M62" s="3"/>
      <x:c r="N62" s="3"/>
      <x:c r="O62" s="3"/>
      <x:c r="P62" s="3"/>
      <x:c r="Q62" s="3"/>
      <x:c r="R62" s="3"/>
      <x:c r="S62" s="3"/>
      <x:c r="T62" s="3"/>
      <x:c r="U62" s="3"/>
      <x:c r="V62" s="3"/>
      <x:c r="W62" s="3"/>
    </x:row>
    <x:row r="63" ht="19" customHeight="1">
      <x:c r="A63" s="2"/>
      <x:c r="B63" s="2"/>
      <x:c r="C63" s="2"/>
      <x:c r="D63" s="3"/>
      <x:c r="E63" s="3"/>
      <x:c r="F63" s="3"/>
      <x:c r="G63" s="3"/>
      <x:c r="H63" s="3"/>
      <x:c r="I63" s="3"/>
      <x:c r="J63" s="3"/>
      <x:c r="K63" s="3"/>
      <x:c r="L63" s="3"/>
      <x:c r="M63" s="3"/>
      <x:c r="N63" s="3"/>
      <x:c r="O63" s="3"/>
      <x:c r="P63" s="3"/>
      <x:c r="Q63" s="3"/>
      <x:c r="R63" s="3"/>
      <x:c r="S63" s="3"/>
      <x:c r="T63" s="3"/>
      <x:c r="U63" s="3"/>
      <x:c r="V63" s="3"/>
      <x:c r="W63" s="3"/>
    </x:row>
    <x:row r="64" ht="19" customHeight="1">
      <x:c r="A64" s="2"/>
      <x:c r="B64" s="2"/>
      <x:c r="C64" s="2"/>
      <x:c r="D64" s="3"/>
      <x:c r="E64" s="3"/>
      <x:c r="F64" s="3"/>
      <x:c r="G64" s="3"/>
      <x:c r="H64" s="3"/>
      <x:c r="I64" s="3"/>
      <x:c r="J64" s="3"/>
      <x:c r="K64" s="3"/>
      <x:c r="L64" s="3"/>
      <x:c r="M64" s="3"/>
      <x:c r="N64" s="3"/>
      <x:c r="O64" s="3"/>
      <x:c r="P64" s="3"/>
      <x:c r="Q64" s="3"/>
      <x:c r="R64" s="3"/>
      <x:c r="S64" s="3"/>
      <x:c r="T64" s="3"/>
      <x:c r="U64" s="3"/>
      <x:c r="V64" s="3"/>
      <x:c r="W64" s="3"/>
    </x:row>
    <x:row r="65" ht="19" customHeight="1">
      <x:c r="A65" s="2"/>
      <x:c r="B65" s="2"/>
      <x:c r="C65" s="2"/>
      <x:c r="D65" s="3"/>
      <x:c r="E65" s="3"/>
      <x:c r="F65" s="3"/>
      <x:c r="G65" s="3"/>
      <x:c r="H65" s="3"/>
      <x:c r="I65" s="3"/>
      <x:c r="J65" s="3"/>
      <x:c r="K65" s="3"/>
      <x:c r="L65" s="3"/>
      <x:c r="M65" s="3"/>
      <x:c r="N65" s="3"/>
      <x:c r="O65" s="3"/>
      <x:c r="P65" s="3"/>
      <x:c r="Q65" s="3"/>
      <x:c r="R65" s="3"/>
      <x:c r="S65" s="3"/>
      <x:c r="T65" s="3"/>
      <x:c r="U65" s="3"/>
      <x:c r="V65" s="3"/>
      <x:c r="W65" s="3"/>
    </x:row>
    <x:row r="66" ht="19" customHeight="1">
      <x:c r="A66" s="2"/>
      <x:c r="B66" s="2"/>
      <x:c r="C66" s="2"/>
      <x:c r="D66" s="3"/>
      <x:c r="E66" s="3"/>
      <x:c r="F66" s="3"/>
      <x:c r="G66" s="3"/>
      <x:c r="H66" s="3"/>
      <x:c r="I66" s="3"/>
      <x:c r="J66" s="3"/>
      <x:c r="K66" s="3"/>
      <x:c r="L66" s="3"/>
      <x:c r="M66" s="3"/>
      <x:c r="N66" s="3"/>
      <x:c r="O66" s="3"/>
      <x:c r="P66" s="3"/>
      <x:c r="Q66" s="3"/>
      <x:c r="R66" s="3"/>
      <x:c r="S66" s="3"/>
      <x:c r="T66" s="3"/>
      <x:c r="U66" s="3"/>
      <x:c r="V66" s="3"/>
      <x:c r="W66" s="3"/>
    </x:row>
    <x:row r="67" ht="19" customHeight="1">
      <x:c r="A67" s="2"/>
      <x:c r="B67" s="2"/>
      <x:c r="C67" s="2"/>
      <x:c r="D67" s="3"/>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2"/>
      <x:c r="D69" s="3"/>
      <x:c r="E69" s="3"/>
      <x:c r="F69" s="3"/>
      <x:c r="G69" s="3"/>
      <x:c r="H69" s="3"/>
      <x:c r="I69" s="3"/>
      <x:c r="J69" s="3"/>
      <x:c r="K69" s="3"/>
      <x:c r="L69" s="3"/>
      <x:c r="M69" s="3"/>
      <x:c r="N69" s="3"/>
      <x:c r="O69" s="3"/>
      <x:c r="P69" s="3"/>
      <x:c r="Q69" s="3"/>
      <x:c r="R69" s="3"/>
      <x:c r="S69" s="3"/>
      <x:c r="T69" s="3"/>
      <x:c r="U69" s="3"/>
      <x:c r="V69" s="3"/>
      <x:c r="W69" s="3"/>
    </x:row>
    <x:row r="70" ht="19" customHeight="1">
      <x:c r="A70" s="2"/>
      <x:c r="B70" s="2"/>
      <x:c r="C70" s="2"/>
      <x:c r="D70" s="3"/>
      <x:c r="E70" s="3"/>
      <x:c r="F70" s="3"/>
      <x:c r="G70" s="3"/>
      <x:c r="H70" s="3"/>
      <x:c r="I70" s="3"/>
      <x:c r="J70" s="3"/>
      <x:c r="K70" s="3"/>
      <x:c r="L70" s="3"/>
      <x:c r="M70" s="3"/>
      <x:c r="N70" s="3"/>
      <x:c r="O70" s="3"/>
      <x:c r="P70" s="3"/>
      <x:c r="Q70" s="3"/>
      <x:c r="R70" s="3"/>
      <x:c r="S70" s="3"/>
      <x:c r="T70" s="3"/>
      <x:c r="U70" s="3"/>
      <x:c r="V70" s="3"/>
      <x:c r="W70" s="3"/>
    </x:row>
    <x:row r="71" ht="19" customHeight="1">
      <x:c r="A71" s="2"/>
      <x:c r="B71" s="2"/>
      <x:c r="C71" s="2"/>
      <x:c r="D71" s="3"/>
      <x:c r="E71" s="3"/>
      <x:c r="F71" s="3"/>
      <x:c r="G71" s="3"/>
      <x:c r="H71" s="3"/>
      <x:c r="I71" s="3"/>
      <x:c r="J71" s="3"/>
      <x:c r="K71" s="3"/>
      <x:c r="L71" s="3"/>
      <x:c r="M71" s="3"/>
      <x:c r="N71" s="3"/>
      <x:c r="O71" s="3"/>
      <x:c r="P71" s="3"/>
      <x:c r="Q71" s="3"/>
      <x:c r="R71" s="3"/>
      <x:c r="S71" s="3"/>
      <x:c r="T71" s="3"/>
      <x:c r="U71" s="3"/>
      <x:c r="V71" s="3"/>
      <x:c r="W71" s="3"/>
    </x:row>
    <x:row r="72" ht="19" customHeight="1">
      <x:c r="A72" s="2"/>
      <x:c r="B72" s="2"/>
      <x:c r="C72" s="2"/>
      <x:c r="D72" s="3"/>
      <x:c r="E72" s="3"/>
      <x:c r="F72" s="3"/>
      <x:c r="G72" s="3"/>
      <x:c r="H72" s="3"/>
      <x:c r="I72" s="3"/>
      <x:c r="J72" s="3"/>
      <x:c r="K72" s="3"/>
      <x:c r="L72" s="3"/>
      <x:c r="M72" s="3"/>
      <x:c r="N72" s="3"/>
      <x:c r="O72" s="3"/>
      <x:c r="P72" s="3"/>
      <x:c r="Q72" s="3"/>
      <x:c r="R72" s="3"/>
      <x:c r="S72" s="3"/>
      <x:c r="T72" s="3"/>
      <x:c r="U72" s="3"/>
      <x:c r="V72" s="3"/>
      <x:c r="W72" s="3"/>
    </x:row>
    <x:row r="73" ht="19" customHeight="1">
      <x:c r="A73" s="2"/>
      <x:c r="B73" s="2"/>
      <x:c r="C73" s="2"/>
      <x:c r="D73" s="3"/>
      <x:c r="E73" s="3"/>
      <x:c r="F73" s="3"/>
      <x:c r="G73" s="3"/>
      <x:c r="H73" s="3"/>
      <x:c r="I73" s="3"/>
      <x:c r="J73" s="3"/>
      <x:c r="K73" s="3"/>
      <x:c r="L73" s="3"/>
      <x:c r="M73" s="3"/>
      <x:c r="N73" s="3"/>
      <x:c r="O73" s="3"/>
      <x:c r="P73" s="3"/>
      <x:c r="Q73" s="3"/>
      <x:c r="R73" s="3"/>
      <x:c r="S73" s="3"/>
      <x:c r="T73" s="3"/>
      <x:c r="U73" s="3"/>
      <x:c r="V73" s="3"/>
      <x:c r="W73" s="3"/>
    </x:row>
    <x:row r="74" ht="19" customHeight="1">
      <x:c r="A74" s="2"/>
      <x:c r="B74" s="2"/>
      <x:c r="C74" s="2"/>
      <x:c r="D74" s="3"/>
      <x:c r="E74" s="3"/>
      <x:c r="F74" s="3"/>
      <x:c r="G74" s="3"/>
      <x:c r="H74" s="3"/>
      <x:c r="I74" s="3"/>
      <x:c r="J74" s="3"/>
      <x:c r="K74" s="3"/>
      <x:c r="L74" s="3"/>
      <x:c r="M74" s="3"/>
      <x:c r="N74" s="3"/>
      <x:c r="O74" s="3"/>
      <x:c r="P74" s="3"/>
      <x:c r="Q74" s="3"/>
      <x:c r="R74" s="3"/>
      <x:c r="S74" s="3"/>
      <x:c r="T74" s="3"/>
      <x:c r="U74" s="3"/>
      <x:c r="V74" s="3"/>
      <x:c r="W74" s="3"/>
    </x:row>
    <x:row r="75" ht="19" customHeight="1">
      <x:c r="A75" s="2"/>
      <x:c r="B75" s="2"/>
      <x:c r="C75" s="2"/>
      <x:c r="D75" s="3"/>
      <x:c r="E75" s="3"/>
      <x:c r="F75" s="3"/>
      <x:c r="G75" s="3"/>
      <x:c r="H75" s="3"/>
      <x:c r="I75" s="3"/>
      <x:c r="J75" s="3"/>
      <x:c r="K75" s="3"/>
      <x:c r="L75" s="3"/>
      <x:c r="M75" s="3"/>
      <x:c r="N75" s="3"/>
      <x:c r="O75" s="3"/>
      <x:c r="P75" s="3"/>
      <x:c r="Q75" s="3"/>
      <x:c r="R75" s="3"/>
      <x:c r="S75" s="3"/>
      <x:c r="T75" s="3"/>
      <x:c r="U75" s="3"/>
      <x:c r="V75" s="3"/>
      <x:c r="W75" s="3"/>
    </x:row>
    <x:row r="76" ht="19" customHeight="1">
      <x:c r="A76" s="2"/>
      <x:c r="B76" s="2"/>
      <x:c r="C76" s="2"/>
      <x:c r="D76" s="3"/>
      <x:c r="E76" s="3"/>
      <x:c r="F76" s="3"/>
      <x:c r="G76" s="3"/>
      <x:c r="H76" s="3"/>
      <x:c r="I76" s="3"/>
      <x:c r="J76" s="3"/>
      <x:c r="K76" s="3"/>
      <x:c r="L76" s="3"/>
      <x:c r="M76" s="3"/>
      <x:c r="N76" s="3"/>
      <x:c r="O76" s="3"/>
      <x:c r="P76" s="3"/>
      <x:c r="Q76" s="3"/>
      <x:c r="R76" s="3"/>
      <x:c r="S76" s="3"/>
      <x:c r="T76" s="3"/>
      <x:c r="U76" s="3"/>
      <x:c r="V76" s="3"/>
      <x:c r="W76" s="3"/>
    </x:row>
    <x:row r="77" ht="19" customHeight="1">
      <x:c r="A77" s="2"/>
      <x:c r="B77" s="2"/>
      <x:c r="C77" s="2"/>
      <x:c r="D77" s="3"/>
      <x:c r="E77" s="3"/>
      <x:c r="F77" s="3"/>
      <x:c r="G77" s="3"/>
      <x:c r="H77" s="3"/>
      <x:c r="I77" s="3"/>
      <x:c r="J77" s="3"/>
      <x:c r="K77" s="3"/>
      <x:c r="L77" s="3"/>
      <x:c r="M77" s="3"/>
      <x:c r="N77" s="3"/>
      <x:c r="O77" s="3"/>
      <x:c r="P77" s="3"/>
      <x:c r="Q77" s="3"/>
      <x:c r="R77" s="3"/>
      <x:c r="S77" s="3"/>
      <x:c r="T77" s="3"/>
      <x:c r="U77" s="3"/>
      <x:c r="V77" s="3"/>
      <x:c r="W77" s="3"/>
    </x:row>
    <x:row r="78" ht="19" customHeight="1">
      <x:c r="A78" s="2"/>
      <x:c r="B78" s="2"/>
      <x:c r="C78" s="2"/>
      <x:c r="D78" s="3"/>
      <x:c r="E78" s="3"/>
      <x:c r="F78" s="3"/>
      <x:c r="G78" s="3"/>
      <x:c r="H78" s="3"/>
      <x:c r="I78" s="3"/>
      <x:c r="J78" s="3"/>
      <x:c r="K78" s="3"/>
      <x:c r="L78" s="3"/>
      <x:c r="M78" s="3"/>
      <x:c r="N78" s="3"/>
      <x:c r="O78" s="3"/>
      <x:c r="P78" s="3"/>
      <x:c r="Q78" s="3"/>
      <x:c r="R78" s="3"/>
      <x:c r="S78" s="3"/>
      <x:c r="T78" s="3"/>
      <x:c r="U78" s="3"/>
      <x:c r="V78" s="3"/>
      <x:c r="W78" s="3"/>
    </x:row>
    <x:row r="79" ht="19" customHeight="1">
      <x:c r="A79" s="2"/>
      <x:c r="B79" s="2"/>
      <x:c r="C79" s="2"/>
      <x:c r="D79" s="3"/>
      <x:c r="E79" s="3"/>
      <x:c r="F79" s="3"/>
      <x:c r="G79" s="3"/>
      <x:c r="H79" s="3"/>
      <x:c r="I79" s="3"/>
      <x:c r="J79" s="3"/>
      <x:c r="K79" s="3"/>
      <x:c r="L79" s="3"/>
      <x:c r="M79" s="3"/>
      <x:c r="N79" s="3"/>
      <x:c r="O79" s="3"/>
      <x:c r="P79" s="3"/>
      <x:c r="Q79" s="3"/>
      <x:c r="R79" s="3"/>
      <x:c r="S79" s="3"/>
      <x:c r="T79" s="3"/>
      <x:c r="U79" s="3"/>
      <x:c r="V79" s="3"/>
      <x:c r="W79" s="3"/>
    </x:row>
    <x:row r="80" ht="19" customHeight="1">
      <x:c r="A80" s="2"/>
      <x:c r="B80" s="2"/>
      <x:c r="C80" s="2"/>
      <x:c r="D80" s="3"/>
      <x:c r="E80" s="3"/>
      <x:c r="F80" s="3"/>
      <x:c r="G80" s="3"/>
      <x:c r="H80" s="3"/>
      <x:c r="I80" s="3"/>
      <x:c r="J80" s="3"/>
      <x:c r="K80" s="3"/>
      <x:c r="L80" s="3"/>
      <x:c r="M80" s="3"/>
      <x:c r="N80" s="3"/>
      <x:c r="O80" s="3"/>
      <x:c r="P80" s="3"/>
      <x:c r="Q80" s="3"/>
      <x:c r="R80" s="3"/>
      <x:c r="S80" s="3"/>
      <x:c r="T80" s="3"/>
      <x:c r="U80" s="3"/>
      <x:c r="V80" s="3"/>
      <x:c r="W80" s="3"/>
    </x:row>
    <x:row r="81" ht="19" customHeight="1">
      <x:c r="A81" s="2"/>
      <x:c r="B81" s="2"/>
      <x:c r="C81" s="2"/>
      <x:c r="D81" s="3"/>
      <x:c r="E81" s="3"/>
      <x:c r="F81" s="3"/>
      <x:c r="G81" s="3"/>
      <x:c r="H81" s="3"/>
      <x:c r="I81" s="3"/>
      <x:c r="J81" s="3"/>
      <x:c r="K81" s="3"/>
      <x:c r="L81" s="3"/>
      <x:c r="M81" s="3"/>
      <x:c r="N81" s="3"/>
      <x:c r="O81" s="3"/>
      <x:c r="P81" s="3"/>
      <x:c r="Q81" s="3"/>
      <x:c r="R81" s="3"/>
      <x:c r="S81" s="3"/>
      <x:c r="T81" s="3"/>
      <x:c r="U81" s="3"/>
      <x:c r="V81" s="3"/>
      <x:c r="W81" s="3"/>
    </x:row>
    <x:row r="82" ht="19" customHeight="1">
      <x:c r="A82" s="2"/>
      <x:c r="B82" s="2"/>
      <x:c r="C82" s="2"/>
      <x:c r="D82" s="3"/>
      <x:c r="E82" s="3"/>
      <x:c r="F82" s="3"/>
      <x:c r="G82" s="3"/>
      <x:c r="H82" s="3"/>
      <x:c r="I82" s="3"/>
      <x:c r="J82" s="3"/>
      <x:c r="K82" s="3"/>
      <x:c r="L82" s="3"/>
      <x:c r="M82" s="3"/>
      <x:c r="N82" s="3"/>
      <x:c r="O82" s="3"/>
      <x:c r="P82" s="3"/>
      <x:c r="Q82" s="3"/>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2"/>
      <x:c r="D85" s="3"/>
      <x:c r="E85" s="3"/>
      <x:c r="F85" s="3"/>
      <x:c r="G85" s="3"/>
      <x:c r="H85" s="3"/>
      <x:c r="I85" s="3"/>
      <x:c r="J85" s="3"/>
      <x:c r="K85" s="3"/>
      <x:c r="L85" s="3"/>
      <x:c r="M85" s="3"/>
      <x:c r="N85" s="3"/>
      <x:c r="O85" s="3"/>
      <x:c r="P85" s="3"/>
      <x:c r="Q85" s="3"/>
      <x:c r="R85" s="3"/>
      <x:c r="S85" s="3"/>
      <x:c r="T85" s="3"/>
      <x:c r="U85" s="3"/>
      <x:c r="V85" s="3"/>
      <x:c r="W85" s="3"/>
    </x:row>
    <x:row r="86" ht="19" customHeight="1">
      <x:c r="A86" s="2"/>
      <x:c r="B86" s="2"/>
      <x:c r="C86" s="2"/>
      <x:c r="D86" s="3"/>
      <x:c r="E86" s="3"/>
      <x:c r="F86" s="3"/>
      <x:c r="G86" s="3"/>
      <x:c r="H86" s="3"/>
      <x:c r="I86" s="3"/>
      <x:c r="J86" s="3"/>
      <x:c r="K86" s="3"/>
      <x:c r="L86" s="3"/>
      <x:c r="M86" s="3"/>
      <x:c r="N86" s="3"/>
      <x:c r="O86" s="3"/>
      <x:c r="P86" s="3"/>
      <x:c r="Q86" s="3"/>
      <x:c r="R86" s="3"/>
      <x:c r="S86" s="3"/>
      <x:c r="T86" s="3"/>
      <x:c r="U86" s="3"/>
      <x:c r="V86" s="3"/>
      <x:c r="W86" s="3"/>
    </x:row>
    <x:row r="87" ht="19" customHeight="1">
      <x:c r="A87" s="2"/>
      <x:c r="B87" s="2"/>
      <x:c r="C87" s="2"/>
      <x:c r="D87" s="3"/>
      <x:c r="E87" s="3"/>
      <x:c r="F87" s="3"/>
      <x:c r="G87" s="3"/>
      <x:c r="H87" s="3"/>
      <x:c r="I87" s="3"/>
      <x:c r="J87" s="3"/>
      <x:c r="K87" s="3"/>
      <x:c r="L87" s="3"/>
      <x:c r="M87" s="3"/>
      <x:c r="N87" s="3"/>
      <x:c r="O87" s="3"/>
      <x:c r="P87" s="3"/>
      <x:c r="Q87" s="3"/>
      <x:c r="R87" s="3"/>
      <x:c r="S87" s="3"/>
      <x:c r="T87" s="3"/>
      <x:c r="U87" s="3"/>
      <x:c r="V87" s="3"/>
      <x:c r="W87" s="3"/>
    </x:row>
    <x:row r="88" ht="19" customHeight="1">
      <x:c r="A88" s="2"/>
      <x:c r="B88" s="2"/>
      <x:c r="C88" s="2"/>
      <x:c r="D88" s="3"/>
      <x:c r="E88" s="3"/>
      <x:c r="F88" s="3"/>
      <x:c r="G88" s="3"/>
      <x:c r="H88" s="3"/>
      <x:c r="I88" s="3"/>
      <x:c r="J88" s="3"/>
      <x:c r="K88" s="3"/>
      <x:c r="L88" s="3"/>
      <x:c r="M88" s="3"/>
      <x:c r="N88" s="3"/>
      <x:c r="O88" s="3"/>
      <x:c r="P88" s="3"/>
      <x:c r="Q88" s="3"/>
      <x:c r="R88" s="3"/>
      <x:c r="S88" s="3"/>
      <x:c r="T88" s="3"/>
      <x:c r="U88" s="3"/>
      <x:c r="V88" s="3"/>
      <x:c r="W88" s="3"/>
    </x:row>
    <x:row r="89" ht="19" customHeight="1">
      <x:c r="A89" s="2"/>
      <x:c r="B89" s="2"/>
      <x:c r="C89" s="2"/>
      <x:c r="D89" s="3"/>
      <x:c r="E89" s="3"/>
      <x:c r="F89" s="3"/>
      <x:c r="G89" s="3"/>
      <x:c r="H89" s="3"/>
      <x:c r="I89" s="3"/>
      <x:c r="J89" s="3"/>
      <x:c r="K89" s="3"/>
      <x:c r="L89" s="3"/>
      <x:c r="M89" s="3"/>
      <x:c r="N89" s="3"/>
      <x:c r="O89" s="3"/>
      <x:c r="P89" s="3"/>
      <x:c r="Q89" s="3"/>
      <x:c r="R89" s="3"/>
      <x:c r="S89" s="3"/>
      <x:c r="T89" s="3"/>
      <x:c r="U89" s="3"/>
      <x:c r="V89" s="3"/>
      <x:c r="W89" s="3"/>
    </x:row>
    <x:row r="90" ht="19" customHeight="1">
      <x:c r="A90" s="2"/>
      <x:c r="B90" s="2"/>
      <x:c r="C90" s="2"/>
      <x:c r="D90" s="3"/>
      <x:c r="E90" s="3"/>
      <x:c r="F90" s="3"/>
      <x:c r="G90" s="3"/>
      <x:c r="H90" s="3"/>
      <x:c r="I90" s="3"/>
      <x:c r="J90" s="3"/>
      <x:c r="K90" s="3"/>
      <x:c r="L90" s="3"/>
      <x:c r="M90" s="3"/>
      <x:c r="N90" s="3"/>
      <x:c r="O90" s="3"/>
      <x:c r="P90" s="3"/>
      <x:c r="Q90" s="3"/>
      <x:c r="R90" s="3"/>
      <x:c r="S90" s="3"/>
      <x:c r="T90" s="3"/>
      <x:c r="U90" s="3"/>
      <x:c r="V90" s="3"/>
      <x:c r="W90" s="3"/>
    </x:row>
    <x:row r="91" ht="19" customHeight="1">
      <x:c r="A91" s="2"/>
      <x:c r="B91" s="2"/>
      <x:c r="C91" s="2"/>
      <x:c r="D91" s="3"/>
      <x:c r="E91" s="3"/>
      <x:c r="F91" s="3"/>
      <x:c r="G91" s="3"/>
      <x:c r="H91" s="3"/>
      <x:c r="I91" s="3"/>
      <x:c r="J91" s="3"/>
      <x:c r="K91" s="3"/>
      <x:c r="L91" s="3"/>
      <x:c r="M91" s="3"/>
      <x:c r="N91" s="3"/>
      <x:c r="O91" s="3"/>
      <x:c r="P91" s="3"/>
      <x:c r="Q91" s="3"/>
      <x:c r="R91" s="3"/>
      <x:c r="S91" s="3"/>
      <x:c r="T91" s="3"/>
      <x:c r="U91" s="3"/>
      <x:c r="V91" s="3"/>
      <x:c r="W91" s="3"/>
    </x:row>
    <x:row r="92" ht="19" customHeight="1">
      <x:c r="A92" s="2"/>
      <x:c r="B92" s="2"/>
      <x:c r="C92" s="2"/>
      <x:c r="D92" s="3"/>
      <x:c r="E92" s="3"/>
      <x:c r="F92" s="3"/>
      <x:c r="G92" s="3"/>
      <x:c r="H92" s="3"/>
      <x:c r="I92" s="3"/>
      <x:c r="J92" s="3"/>
      <x:c r="K92" s="3"/>
      <x:c r="L92" s="3"/>
      <x:c r="M92" s="3"/>
      <x:c r="N92" s="3"/>
      <x:c r="O92" s="3"/>
      <x:c r="P92" s="3"/>
      <x:c r="Q92" s="3"/>
      <x:c r="R92" s="3"/>
      <x:c r="S92" s="3"/>
      <x:c r="T92" s="3"/>
      <x:c r="U92" s="3"/>
      <x:c r="V92" s="3"/>
      <x:c r="W92" s="3"/>
    </x:row>
    <x:row r="93" ht="19" customHeight="1">
      <x:c r="A93" s="2"/>
      <x:c r="B93" s="2"/>
      <x:c r="C93" s="2"/>
      <x:c r="D93" s="3"/>
      <x:c r="E93" s="3"/>
      <x:c r="F93" s="3"/>
      <x:c r="G93" s="3"/>
      <x:c r="H93" s="3"/>
      <x:c r="I93" s="3"/>
      <x:c r="J93" s="3"/>
      <x:c r="K93" s="3"/>
      <x:c r="L93" s="3"/>
      <x:c r="M93" s="3"/>
      <x:c r="N93" s="3"/>
      <x:c r="O93" s="3"/>
      <x:c r="P93" s="3"/>
      <x:c r="Q93" s="3"/>
      <x:c r="R93" s="3"/>
      <x:c r="S93" s="3"/>
      <x:c r="T93" s="3"/>
      <x:c r="U93" s="3"/>
      <x:c r="V93" s="3"/>
      <x:c r="W93" s="3"/>
    </x:row>
    <x:row r="94" ht="19" customHeight="1">
      <x:c r="A94" s="2"/>
      <x:c r="B94" s="2"/>
      <x:c r="C94" s="2"/>
      <x:c r="D94" s="3"/>
      <x:c r="E94" s="3"/>
      <x:c r="F94" s="3"/>
      <x:c r="G94" s="3"/>
      <x:c r="H94" s="3"/>
      <x:c r="I94" s="3"/>
      <x:c r="J94" s="3"/>
      <x:c r="K94" s="3"/>
      <x:c r="L94" s="3"/>
      <x:c r="M94" s="3"/>
      <x:c r="N94" s="3"/>
      <x:c r="O94" s="3"/>
      <x:c r="P94" s="3"/>
      <x:c r="Q94" s="3"/>
      <x:c r="R94" s="3"/>
      <x:c r="S94" s="3"/>
      <x:c r="T94" s="3"/>
      <x:c r="U94" s="3"/>
      <x:c r="V94" s="3"/>
      <x:c r="W94" s="3"/>
    </x:row>
    <x:row r="95" ht="19" customHeight="1">
      <x:c r="A95" s="2"/>
      <x:c r="B95" s="2"/>
      <x:c r="C95" s="2"/>
      <x:c r="D95" s="3"/>
      <x:c r="E95" s="3"/>
      <x:c r="F95" s="3"/>
      <x:c r="G95" s="3"/>
      <x:c r="H95" s="3"/>
      <x:c r="I95" s="3"/>
      <x:c r="J95" s="3"/>
      <x:c r="K95" s="3"/>
      <x:c r="L95" s="3"/>
      <x:c r="M95" s="3"/>
      <x:c r="N95" s="3"/>
      <x:c r="O95" s="3"/>
      <x:c r="P95" s="3"/>
      <x:c r="Q95" s="3"/>
      <x:c r="R95" s="3"/>
      <x:c r="S95" s="3"/>
      <x:c r="T95" s="3"/>
      <x:c r="U95" s="3"/>
      <x:c r="V95" s="3"/>
      <x:c r="W95" s="3"/>
    </x:row>
    <x:row r="96" ht="19" customHeight="1">
      <x:c r="A96" s="2"/>
      <x:c r="B96" s="2"/>
      <x:c r="C96" s="2"/>
      <x:c r="D96" s="3"/>
      <x:c r="E96" s="3"/>
      <x:c r="F96" s="3"/>
      <x:c r="G96" s="3"/>
      <x:c r="H96" s="3"/>
      <x:c r="I96" s="3"/>
      <x:c r="J96" s="3"/>
      <x:c r="K96" s="3"/>
      <x:c r="L96" s="3"/>
      <x:c r="M96" s="3"/>
      <x:c r="N96" s="3"/>
      <x:c r="O96" s="3"/>
      <x:c r="P96" s="3"/>
      <x:c r="Q96" s="3"/>
      <x:c r="R96" s="3"/>
      <x:c r="S96" s="3"/>
      <x:c r="T96" s="3"/>
      <x:c r="U96" s="3"/>
      <x:c r="V96" s="3"/>
      <x:c r="W96" s="3"/>
    </x:row>
    <x:row r="97" ht="19" customHeight="1">
      <x:c r="A97" s="2"/>
      <x:c r="B97" s="2"/>
      <x:c r="C97" s="2"/>
      <x:c r="D97" s="3"/>
      <x:c r="E97" s="3"/>
      <x:c r="F97" s="3"/>
      <x:c r="G97" s="3"/>
      <x:c r="H97" s="3"/>
      <x:c r="I97" s="3"/>
      <x:c r="J97" s="3"/>
      <x:c r="K97" s="3"/>
      <x:c r="L97" s="3"/>
      <x:c r="M97" s="3"/>
      <x:c r="N97" s="3"/>
      <x:c r="O97" s="3"/>
      <x:c r="P97" s="3"/>
      <x:c r="Q97" s="3"/>
      <x:c r="R97" s="3"/>
      <x:c r="S97" s="3"/>
      <x:c r="T97" s="3"/>
      <x:c r="U97" s="3"/>
      <x:c r="V97" s="3"/>
      <x:c r="W97" s="3"/>
    </x:row>
    <x:row r="98" ht="19" customHeight="1">
      <x:c r="A98" s="2"/>
      <x:c r="B98" s="2"/>
      <x:c r="C98" s="2"/>
      <x:c r="D98" s="3"/>
      <x:c r="E98" s="3"/>
      <x:c r="F98" s="3"/>
      <x:c r="G98" s="3"/>
      <x:c r="H98" s="3"/>
      <x:c r="I98" s="3"/>
      <x:c r="J98" s="3"/>
      <x:c r="K98" s="3"/>
      <x:c r="L98" s="3"/>
      <x:c r="M98" s="3"/>
      <x:c r="N98" s="3"/>
      <x:c r="O98" s="3"/>
      <x:c r="P98" s="3"/>
      <x:c r="Q98" s="3"/>
      <x:c r="R98" s="3"/>
      <x:c r="S98" s="3"/>
      <x:c r="T98" s="3"/>
      <x:c r="U98" s="3"/>
      <x:c r="V98" s="3"/>
      <x:c r="W98" s="3"/>
    </x:row>
    <x:row r="99" ht="19" customHeight="1">
      <x:c r="A99" s="2"/>
      <x:c r="B99" s="2"/>
      <x:c r="C99" s="2"/>
      <x:c r="D99" s="3"/>
      <x:c r="E99" s="3"/>
      <x:c r="F99" s="3"/>
      <x:c r="G99" s="3"/>
      <x:c r="H99" s="3"/>
      <x:c r="I99" s="3"/>
      <x:c r="J99" s="3"/>
      <x:c r="K99" s="3"/>
      <x:c r="L99" s="3"/>
      <x:c r="M99" s="3"/>
      <x:c r="N99" s="3"/>
      <x:c r="O99" s="3"/>
      <x:c r="P99" s="3"/>
      <x:c r="Q99" s="3"/>
      <x:c r="R99" s="3"/>
      <x:c r="S99" s="3"/>
      <x:c r="T99" s="3"/>
      <x:c r="U99" s="3"/>
      <x:c r="V99" s="3"/>
      <x:c r="W99" s="3"/>
    </x:row>
    <x:row r="100" ht="19" customHeight="1">
      <x:c r="A100" s="2"/>
      <x:c r="B100" s="2"/>
      <x:c r="C100" s="2"/>
      <x:c r="D100" s="3"/>
      <x:c r="E100" s="3"/>
      <x:c r="F100" s="3"/>
      <x:c r="G100" s="3"/>
      <x:c r="H100" s="3"/>
      <x:c r="I100" s="3"/>
      <x:c r="J100" s="3"/>
      <x:c r="K100" s="3"/>
      <x:c r="L100" s="3"/>
      <x:c r="M100" s="3"/>
      <x:c r="N100" s="3"/>
      <x:c r="O100" s="3"/>
      <x:c r="P100" s="3"/>
      <x:c r="Q100" s="3"/>
      <x:c r="R100" s="3"/>
      <x:c r="S100" s="3"/>
      <x:c r="T100" s="3"/>
      <x:c r="U100" s="3"/>
      <x:c r="V100" s="3"/>
      <x:c r="W100" s="3"/>
    </x:row>
  </x:sheetData>
  <x:pageMargins left="0.7" right="0.7" top="0.75" bottom="0.75" header="0.3" footer="0.3"/>
</x:worksheet>
</file>