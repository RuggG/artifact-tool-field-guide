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ruggerogargiulo/repos/lynott-modelling-eval-20260914/man-group-fees-excel/outputs/man-group-fees/"/>
    </mc:Choice>
  </mc:AlternateContent>
  <xr:revisionPtr revIDLastSave="0" documentId="13_ncr:1_{CEF5530D-A934-1E44-A7C1-F22E9A95B821}" xr6:coauthVersionLast="47" xr6:coauthVersionMax="47" xr10:uidLastSave="{00000000-0000-0000-0000-000000000000}"/>
  <bookViews>
    <workbookView xWindow="0" yWindow="660" windowWidth="30240" windowHeight="18980" xr2:uid="{00000000-000D-0000-FFFF-FFFF00000000}"/>
  </bookViews>
  <sheets>
    <sheet name="Summary" sheetId="1" r:id="rId1"/>
    <sheet name="Assumptions" sheetId="2" r:id="rId2"/>
    <sheet name="Fee engine" sheetId="3" r:id="rId3"/>
    <sheet name="Disclosures" sheetId="4" r:id="rId4"/>
    <sheet name="Checks" sheetId="5" r:id="rId5"/>
    <sheet name="Readm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5" l="1"/>
  <c r="J18" i="5"/>
  <c r="I97" i="3"/>
  <c r="I17" i="5" s="1"/>
  <c r="J93" i="3"/>
  <c r="I93" i="3"/>
  <c r="H93" i="3"/>
  <c r="E93" i="3"/>
  <c r="D93" i="3"/>
  <c r="M92" i="3"/>
  <c r="L92" i="3"/>
  <c r="J91" i="3"/>
  <c r="E91" i="3"/>
  <c r="D91" i="3"/>
  <c r="Q82" i="3"/>
  <c r="P82" i="3"/>
  <c r="O82" i="3"/>
  <c r="N82" i="3"/>
  <c r="M82" i="3"/>
  <c r="L82" i="3"/>
  <c r="K82" i="3"/>
  <c r="J82" i="3"/>
  <c r="I82" i="3"/>
  <c r="H82" i="3"/>
  <c r="G82" i="3"/>
  <c r="F82" i="3"/>
  <c r="E82" i="3"/>
  <c r="D82" i="3"/>
  <c r="Q81" i="3"/>
  <c r="P81" i="3"/>
  <c r="P56" i="3" s="1"/>
  <c r="O81" i="3"/>
  <c r="O56" i="3" s="1"/>
  <c r="N81" i="3"/>
  <c r="M81" i="3"/>
  <c r="L81" i="3"/>
  <c r="K81" i="3"/>
  <c r="J81" i="3"/>
  <c r="I81" i="3"/>
  <c r="H81" i="3"/>
  <c r="G81" i="3"/>
  <c r="F81" i="3"/>
  <c r="F56" i="3" s="1"/>
  <c r="E81" i="3"/>
  <c r="E56" i="3" s="1"/>
  <c r="D81" i="3"/>
  <c r="Q80" i="3"/>
  <c r="P80" i="3"/>
  <c r="O80" i="3"/>
  <c r="N80" i="3"/>
  <c r="M80" i="3"/>
  <c r="L80" i="3"/>
  <c r="K80" i="3"/>
  <c r="J80" i="3"/>
  <c r="I80" i="3"/>
  <c r="H80" i="3"/>
  <c r="G80" i="3"/>
  <c r="F80" i="3"/>
  <c r="E80" i="3"/>
  <c r="D80" i="3"/>
  <c r="Q79" i="3"/>
  <c r="P79" i="3"/>
  <c r="O79" i="3"/>
  <c r="N79" i="3"/>
  <c r="M79" i="3"/>
  <c r="L79" i="3"/>
  <c r="K79" i="3"/>
  <c r="J79" i="3"/>
  <c r="I79" i="3"/>
  <c r="H79" i="3"/>
  <c r="G79" i="3"/>
  <c r="F79" i="3"/>
  <c r="E79" i="3"/>
  <c r="D79" i="3"/>
  <c r="Q78" i="3"/>
  <c r="Q50" i="3" s="1"/>
  <c r="P78" i="3"/>
  <c r="O78" i="3"/>
  <c r="N78" i="3"/>
  <c r="M78" i="3"/>
  <c r="L78" i="3"/>
  <c r="K78" i="3"/>
  <c r="J78" i="3"/>
  <c r="I78" i="3"/>
  <c r="H78" i="3"/>
  <c r="G78" i="3"/>
  <c r="G50" i="3" s="1"/>
  <c r="F78" i="3"/>
  <c r="E78" i="3"/>
  <c r="D78" i="3"/>
  <c r="Q77" i="3"/>
  <c r="P77" i="3"/>
  <c r="P49" i="3" s="1"/>
  <c r="O77" i="3"/>
  <c r="O49" i="3" s="1"/>
  <c r="N77" i="3"/>
  <c r="N49" i="3" s="1"/>
  <c r="M77" i="3"/>
  <c r="M49" i="3" s="1"/>
  <c r="L77" i="3"/>
  <c r="K77" i="3"/>
  <c r="K49" i="3" s="1"/>
  <c r="J77" i="3"/>
  <c r="I77" i="3"/>
  <c r="H77" i="3"/>
  <c r="G77" i="3"/>
  <c r="F77" i="3"/>
  <c r="F49" i="3" s="1"/>
  <c r="E77" i="3"/>
  <c r="E49" i="3" s="1"/>
  <c r="D77" i="3"/>
  <c r="Q76" i="3"/>
  <c r="P76" i="3"/>
  <c r="P48" i="3" s="1"/>
  <c r="O76" i="3"/>
  <c r="O48" i="3" s="1"/>
  <c r="N76" i="3"/>
  <c r="M76" i="3"/>
  <c r="L76" i="3"/>
  <c r="K76" i="3"/>
  <c r="J76" i="3"/>
  <c r="J48" i="3" s="1"/>
  <c r="I76" i="3"/>
  <c r="H76" i="3"/>
  <c r="G76" i="3"/>
  <c r="G48" i="3" s="1"/>
  <c r="F76" i="3"/>
  <c r="F48" i="3" s="1"/>
  <c r="E76" i="3"/>
  <c r="E48" i="3" s="1"/>
  <c r="D76" i="3"/>
  <c r="Q75" i="3"/>
  <c r="P75" i="3"/>
  <c r="P47" i="3" s="1"/>
  <c r="O75" i="3"/>
  <c r="O47" i="3" s="1"/>
  <c r="N75" i="3"/>
  <c r="M75" i="3"/>
  <c r="L75" i="3"/>
  <c r="K75" i="3"/>
  <c r="J75" i="3"/>
  <c r="I75" i="3"/>
  <c r="I47" i="3" s="1"/>
  <c r="H75" i="3"/>
  <c r="G75" i="3"/>
  <c r="F75" i="3"/>
  <c r="F47" i="3" s="1"/>
  <c r="E75" i="3"/>
  <c r="E47" i="3" s="1"/>
  <c r="D75" i="3"/>
  <c r="D47" i="3" s="1"/>
  <c r="Q74" i="3"/>
  <c r="P74" i="3"/>
  <c r="P41" i="3" s="1"/>
  <c r="O74" i="3"/>
  <c r="O41" i="3" s="1"/>
  <c r="N74" i="3"/>
  <c r="M74" i="3"/>
  <c r="L74" i="3"/>
  <c r="K74" i="3"/>
  <c r="J74" i="3"/>
  <c r="I74" i="3"/>
  <c r="H74" i="3"/>
  <c r="G74" i="3"/>
  <c r="F74" i="3"/>
  <c r="F41" i="3" s="1"/>
  <c r="E74" i="3"/>
  <c r="E41" i="3" s="1"/>
  <c r="D74" i="3"/>
  <c r="Q73" i="3"/>
  <c r="P73" i="3"/>
  <c r="O73" i="3"/>
  <c r="N73" i="3"/>
  <c r="M73" i="3"/>
  <c r="L73" i="3"/>
  <c r="K73" i="3"/>
  <c r="J73" i="3"/>
  <c r="I73" i="3"/>
  <c r="H73" i="3"/>
  <c r="G73" i="3"/>
  <c r="F73" i="3"/>
  <c r="E73" i="3"/>
  <c r="D73" i="3"/>
  <c r="Q72" i="3"/>
  <c r="P72" i="3"/>
  <c r="O72" i="3"/>
  <c r="N72" i="3"/>
  <c r="M72" i="3"/>
  <c r="L72" i="3"/>
  <c r="K72" i="3"/>
  <c r="J72" i="3"/>
  <c r="I72" i="3"/>
  <c r="H72" i="3"/>
  <c r="G72" i="3"/>
  <c r="F72" i="3"/>
  <c r="E72" i="3"/>
  <c r="D72" i="3"/>
  <c r="Q71" i="3"/>
  <c r="Q40" i="3" s="1"/>
  <c r="P71" i="3"/>
  <c r="P40" i="3" s="1"/>
  <c r="O71" i="3"/>
  <c r="O40" i="3" s="1"/>
  <c r="N71" i="3"/>
  <c r="M71" i="3"/>
  <c r="L71" i="3"/>
  <c r="K71" i="3"/>
  <c r="J71" i="3"/>
  <c r="I71" i="3"/>
  <c r="H71" i="3"/>
  <c r="G71" i="3"/>
  <c r="F71" i="3"/>
  <c r="F40" i="3" s="1"/>
  <c r="E71" i="3"/>
  <c r="E40" i="3" s="1"/>
  <c r="D71" i="3"/>
  <c r="Q70" i="3"/>
  <c r="P70" i="3"/>
  <c r="O70" i="3"/>
  <c r="N70" i="3"/>
  <c r="M70" i="3"/>
  <c r="L70" i="3"/>
  <c r="K70" i="3"/>
  <c r="J70" i="3"/>
  <c r="I70" i="3"/>
  <c r="H70" i="3"/>
  <c r="G70" i="3"/>
  <c r="F70" i="3"/>
  <c r="E70" i="3"/>
  <c r="D70" i="3"/>
  <c r="Q69" i="3"/>
  <c r="P69" i="3"/>
  <c r="O69" i="3"/>
  <c r="N69" i="3"/>
  <c r="M69" i="3"/>
  <c r="L69" i="3"/>
  <c r="K69" i="3"/>
  <c r="J69" i="3"/>
  <c r="I69" i="3"/>
  <c r="H69" i="3"/>
  <c r="G69" i="3"/>
  <c r="F69" i="3"/>
  <c r="E69" i="3"/>
  <c r="D69" i="3"/>
  <c r="Q68" i="3"/>
  <c r="Q34" i="3" s="1"/>
  <c r="P68" i="3"/>
  <c r="O68" i="3"/>
  <c r="N68" i="3"/>
  <c r="M68" i="3"/>
  <c r="L68" i="3"/>
  <c r="K68" i="3"/>
  <c r="J68" i="3"/>
  <c r="I68" i="3"/>
  <c r="H68" i="3"/>
  <c r="G68" i="3"/>
  <c r="G34" i="3" s="1"/>
  <c r="F68" i="3"/>
  <c r="E68" i="3"/>
  <c r="D68" i="3"/>
  <c r="Q67" i="3"/>
  <c r="P67" i="3"/>
  <c r="P29" i="3" s="1"/>
  <c r="O67" i="3"/>
  <c r="N67" i="3"/>
  <c r="M67" i="3"/>
  <c r="L67" i="3"/>
  <c r="K67" i="3"/>
  <c r="J67" i="3"/>
  <c r="I67" i="3"/>
  <c r="H67" i="3"/>
  <c r="G67" i="3"/>
  <c r="F67" i="3"/>
  <c r="F29" i="3" s="1"/>
  <c r="F37" i="3" s="1"/>
  <c r="E67" i="3"/>
  <c r="D67" i="3"/>
  <c r="Q66" i="3"/>
  <c r="P66" i="3"/>
  <c r="P28" i="3" s="1"/>
  <c r="O66" i="3"/>
  <c r="O28" i="3" s="1"/>
  <c r="N66" i="3"/>
  <c r="M66" i="3"/>
  <c r="L66" i="3"/>
  <c r="K66" i="3"/>
  <c r="J66" i="3"/>
  <c r="I66" i="3"/>
  <c r="H66" i="3"/>
  <c r="G66" i="3"/>
  <c r="F66" i="3"/>
  <c r="F28" i="3" s="1"/>
  <c r="E66" i="3"/>
  <c r="E28" i="3" s="1"/>
  <c r="D66" i="3"/>
  <c r="Q65" i="3"/>
  <c r="P65" i="3"/>
  <c r="O65" i="3"/>
  <c r="N65" i="3"/>
  <c r="M65" i="3"/>
  <c r="L65" i="3"/>
  <c r="K65" i="3"/>
  <c r="J65" i="3"/>
  <c r="I65" i="3"/>
  <c r="H65" i="3"/>
  <c r="G65" i="3"/>
  <c r="F65" i="3"/>
  <c r="E65" i="3"/>
  <c r="D65" i="3"/>
  <c r="Q64" i="3"/>
  <c r="P64" i="3"/>
  <c r="P50" i="3" s="1"/>
  <c r="O64" i="3"/>
  <c r="O50" i="3" s="1"/>
  <c r="N64" i="3"/>
  <c r="M64" i="3"/>
  <c r="M50" i="3" s="1"/>
  <c r="L64" i="3"/>
  <c r="K64" i="3"/>
  <c r="J64" i="3"/>
  <c r="I64" i="3"/>
  <c r="H64" i="3"/>
  <c r="G64" i="3"/>
  <c r="F64" i="3"/>
  <c r="F50" i="3" s="1"/>
  <c r="E64" i="3"/>
  <c r="E50" i="3" s="1"/>
  <c r="D64" i="3"/>
  <c r="Q56" i="3"/>
  <c r="N56" i="3"/>
  <c r="M56" i="3"/>
  <c r="I107" i="3" s="1"/>
  <c r="L56" i="3"/>
  <c r="K56" i="3"/>
  <c r="J56" i="3"/>
  <c r="I56" i="3"/>
  <c r="H56" i="3"/>
  <c r="F107" i="3" s="1"/>
  <c r="F24" i="5" s="1"/>
  <c r="G56" i="3"/>
  <c r="D56" i="3"/>
  <c r="N50" i="3"/>
  <c r="L50" i="3"/>
  <c r="K50" i="3"/>
  <c r="J50" i="3"/>
  <c r="I50" i="3"/>
  <c r="D50" i="3"/>
  <c r="U49" i="3"/>
  <c r="T49" i="3"/>
  <c r="S49" i="3"/>
  <c r="Q49" i="3"/>
  <c r="L49" i="3"/>
  <c r="J49" i="3"/>
  <c r="I49" i="3"/>
  <c r="H49" i="3"/>
  <c r="G49" i="3"/>
  <c r="D49" i="3"/>
  <c r="W48" i="3"/>
  <c r="T48" i="3"/>
  <c r="Q48" i="3"/>
  <c r="N48" i="3"/>
  <c r="M48" i="3"/>
  <c r="L48" i="3"/>
  <c r="K48" i="3"/>
  <c r="I48" i="3"/>
  <c r="H48" i="3"/>
  <c r="D48" i="3"/>
  <c r="Q47" i="3"/>
  <c r="N47" i="3"/>
  <c r="M47" i="3"/>
  <c r="L47" i="3"/>
  <c r="K47" i="3"/>
  <c r="J47" i="3"/>
  <c r="H47" i="3"/>
  <c r="G47" i="3"/>
  <c r="W41" i="3"/>
  <c r="T41" i="3"/>
  <c r="S41" i="3"/>
  <c r="R41" i="3"/>
  <c r="Q41" i="3"/>
  <c r="N41" i="3"/>
  <c r="M41" i="3"/>
  <c r="L41" i="3"/>
  <c r="K41" i="3"/>
  <c r="J41" i="3"/>
  <c r="I41" i="3"/>
  <c r="H41" i="3"/>
  <c r="G41" i="3"/>
  <c r="D41" i="3"/>
  <c r="S40" i="3"/>
  <c r="N40" i="3"/>
  <c r="M40" i="3"/>
  <c r="L40" i="3"/>
  <c r="K40" i="3"/>
  <c r="J40" i="3"/>
  <c r="I40" i="3"/>
  <c r="H40" i="3"/>
  <c r="G40" i="3"/>
  <c r="D40" i="3"/>
  <c r="U37" i="3"/>
  <c r="S37" i="3"/>
  <c r="K37" i="3"/>
  <c r="I37" i="3"/>
  <c r="G37" i="3"/>
  <c r="D37" i="3"/>
  <c r="N36" i="3"/>
  <c r="K36" i="3"/>
  <c r="K52" i="3" s="1"/>
  <c r="H36" i="3"/>
  <c r="G36" i="3"/>
  <c r="V34" i="3"/>
  <c r="V53" i="5" s="1"/>
  <c r="U34" i="3"/>
  <c r="T34" i="3"/>
  <c r="T53" i="5" s="1"/>
  <c r="S34" i="3"/>
  <c r="R34" i="3"/>
  <c r="P34" i="3"/>
  <c r="O34" i="3"/>
  <c r="N34" i="3"/>
  <c r="M34" i="3"/>
  <c r="L34" i="3"/>
  <c r="K34" i="3"/>
  <c r="J34" i="3"/>
  <c r="I34" i="3"/>
  <c r="H34" i="3"/>
  <c r="F34" i="3"/>
  <c r="E34" i="3"/>
  <c r="D34" i="3"/>
  <c r="V30" i="3"/>
  <c r="U30" i="3"/>
  <c r="Q30" i="3"/>
  <c r="J98" i="3" s="1"/>
  <c r="P30" i="3"/>
  <c r="O30" i="3"/>
  <c r="N30" i="3"/>
  <c r="M30" i="3"/>
  <c r="L30" i="3"/>
  <c r="K30" i="3"/>
  <c r="J30" i="3"/>
  <c r="I30" i="3"/>
  <c r="H30" i="3"/>
  <c r="G30" i="3"/>
  <c r="F30" i="3"/>
  <c r="E30" i="3"/>
  <c r="D30" i="3"/>
  <c r="V29" i="3"/>
  <c r="V37" i="3" s="1"/>
  <c r="U29" i="3"/>
  <c r="S29" i="3"/>
  <c r="Q29" i="3"/>
  <c r="Q37" i="3" s="1"/>
  <c r="O29" i="3"/>
  <c r="O37" i="3" s="1"/>
  <c r="N29" i="3"/>
  <c r="N37" i="3" s="1"/>
  <c r="N52" i="3" s="1"/>
  <c r="M29" i="3"/>
  <c r="M37" i="3" s="1"/>
  <c r="L29" i="3"/>
  <c r="K29" i="3"/>
  <c r="J29" i="3"/>
  <c r="J37" i="3" s="1"/>
  <c r="I29" i="3"/>
  <c r="H29" i="3"/>
  <c r="G29" i="3"/>
  <c r="E29" i="3"/>
  <c r="E37" i="3" s="1"/>
  <c r="D29" i="3"/>
  <c r="Q28" i="3"/>
  <c r="N28" i="3"/>
  <c r="M28" i="3"/>
  <c r="L28" i="3"/>
  <c r="K28" i="3"/>
  <c r="J28" i="3"/>
  <c r="J36" i="3" s="1"/>
  <c r="I28" i="3"/>
  <c r="H28" i="3"/>
  <c r="G28" i="3"/>
  <c r="D28" i="3"/>
  <c r="W16" i="3"/>
  <c r="V16" i="3"/>
  <c r="U16" i="3"/>
  <c r="T16" i="3"/>
  <c r="S16" i="3"/>
  <c r="R16" i="3"/>
  <c r="Q16" i="3"/>
  <c r="P16" i="3"/>
  <c r="J94" i="3" s="1"/>
  <c r="L16" i="3"/>
  <c r="J16" i="3"/>
  <c r="G16" i="3"/>
  <c r="F16" i="3"/>
  <c r="E16" i="3"/>
  <c r="W15" i="3"/>
  <c r="V15" i="3"/>
  <c r="U15" i="3"/>
  <c r="T15" i="3"/>
  <c r="S15" i="3"/>
  <c r="R15" i="3"/>
  <c r="K15" i="3"/>
  <c r="J15" i="3"/>
  <c r="I15" i="3"/>
  <c r="G93" i="3" s="1"/>
  <c r="E42" i="5" s="1"/>
  <c r="H15" i="3"/>
  <c r="W14" i="3"/>
  <c r="V14" i="3"/>
  <c r="U14" i="3"/>
  <c r="T14" i="3"/>
  <c r="S14" i="3"/>
  <c r="R14" i="3"/>
  <c r="Q14" i="3"/>
  <c r="P14" i="3"/>
  <c r="O14" i="3"/>
  <c r="N14" i="3"/>
  <c r="M14" i="3"/>
  <c r="L14" i="3"/>
  <c r="K14" i="3"/>
  <c r="J14" i="3"/>
  <c r="I14" i="3"/>
  <c r="H14" i="3"/>
  <c r="G14" i="3"/>
  <c r="F14" i="3"/>
  <c r="F10" i="5" s="1"/>
  <c r="E14" i="3"/>
  <c r="D14" i="3"/>
  <c r="W13" i="3"/>
  <c r="W52" i="5" s="1"/>
  <c r="V13" i="3"/>
  <c r="U13" i="3"/>
  <c r="T13" i="3"/>
  <c r="S13" i="3"/>
  <c r="R13" i="3"/>
  <c r="O13" i="3"/>
  <c r="N13" i="3"/>
  <c r="M13" i="3"/>
  <c r="L13" i="3"/>
  <c r="L10" i="5" s="1"/>
  <c r="K13" i="3"/>
  <c r="J13" i="3"/>
  <c r="I13" i="3"/>
  <c r="H13" i="3"/>
  <c r="Q12" i="3"/>
  <c r="P12" i="3"/>
  <c r="O12" i="3"/>
  <c r="N12" i="3"/>
  <c r="M12" i="3"/>
  <c r="L12" i="3"/>
  <c r="K12" i="3"/>
  <c r="J12" i="3"/>
  <c r="I12" i="3"/>
  <c r="H12" i="3"/>
  <c r="G12" i="3"/>
  <c r="F12" i="3"/>
  <c r="E12" i="3"/>
  <c r="D12" i="3"/>
  <c r="Q11" i="3"/>
  <c r="P11" i="3"/>
  <c r="O11" i="3"/>
  <c r="N11" i="3"/>
  <c r="M11" i="3"/>
  <c r="H89" i="3" s="1"/>
  <c r="H10" i="1" s="1"/>
  <c r="L11" i="3"/>
  <c r="K11" i="3"/>
  <c r="J11" i="3"/>
  <c r="I11" i="3"/>
  <c r="H11" i="3"/>
  <c r="G11" i="3"/>
  <c r="F11" i="3"/>
  <c r="E11" i="3"/>
  <c r="D11" i="3"/>
  <c r="D10" i="3"/>
  <c r="D66" i="2"/>
  <c r="D65" i="2"/>
  <c r="V49" i="3" s="1"/>
  <c r="D64" i="2"/>
  <c r="D63" i="2"/>
  <c r="D62" i="2"/>
  <c r="V41" i="3" s="1"/>
  <c r="D59" i="2"/>
  <c r="D58" i="2"/>
  <c r="W29" i="3" s="1"/>
  <c r="W37" i="3" s="1"/>
  <c r="D57" i="2"/>
  <c r="D56" i="2"/>
  <c r="D55" i="2"/>
  <c r="T40" i="3" s="1"/>
  <c r="D54" i="2"/>
  <c r="W34" i="3" s="1"/>
  <c r="D52" i="2"/>
  <c r="D51" i="2"/>
  <c r="D50" i="2"/>
  <c r="W35" i="2"/>
  <c r="V35" i="2"/>
  <c r="S35" i="2"/>
  <c r="R35" i="2"/>
  <c r="W34" i="2"/>
  <c r="V34" i="2"/>
  <c r="U34" i="2"/>
  <c r="S34" i="2"/>
  <c r="R34" i="2"/>
  <c r="W33" i="2"/>
  <c r="V33" i="2"/>
  <c r="S33" i="2"/>
  <c r="S32" i="2" s="1"/>
  <c r="S28" i="3" s="1"/>
  <c r="R33" i="2"/>
  <c r="W32" i="2"/>
  <c r="W28" i="3" s="1"/>
  <c r="W50" i="3" s="1"/>
  <c r="V32" i="2"/>
  <c r="V28" i="3" s="1"/>
  <c r="R32" i="2"/>
  <c r="R28" i="3" s="1"/>
  <c r="R50" i="3" s="1"/>
  <c r="Q32" i="2"/>
  <c r="P32" i="2"/>
  <c r="O32" i="2"/>
  <c r="N32" i="2"/>
  <c r="K32" i="2"/>
  <c r="H32" i="2"/>
  <c r="G32" i="2"/>
  <c r="F32" i="2"/>
  <c r="E32" i="2"/>
  <c r="D32" i="2"/>
  <c r="W29" i="2"/>
  <c r="V29" i="2"/>
  <c r="U29" i="2"/>
  <c r="T29" i="2"/>
  <c r="S29" i="2"/>
  <c r="R29" i="2"/>
  <c r="W26" i="2"/>
  <c r="W25" i="2" s="1"/>
  <c r="W26" i="3" s="1"/>
  <c r="W49" i="5" s="1"/>
  <c r="V26" i="2"/>
  <c r="U26" i="2"/>
  <c r="U25" i="2" s="1"/>
  <c r="U26" i="3" s="1"/>
  <c r="U49" i="5" s="1"/>
  <c r="T26" i="2"/>
  <c r="S26" i="2"/>
  <c r="R26" i="2"/>
  <c r="R25" i="2" s="1"/>
  <c r="R26" i="3" s="1"/>
  <c r="R49" i="5" s="1"/>
  <c r="V25" i="2"/>
  <c r="V26" i="3" s="1"/>
  <c r="V49" i="5" s="1"/>
  <c r="T25" i="2"/>
  <c r="T26" i="3" s="1"/>
  <c r="T49" i="5" s="1"/>
  <c r="S25" i="2"/>
  <c r="S26" i="3" s="1"/>
  <c r="S49" i="5" s="1"/>
  <c r="W18" i="2"/>
  <c r="V18" i="2"/>
  <c r="U18" i="2"/>
  <c r="T18" i="2"/>
  <c r="S18" i="2"/>
  <c r="R18" i="2"/>
  <c r="W11" i="2"/>
  <c r="V11" i="2"/>
  <c r="U11" i="2"/>
  <c r="T11" i="2"/>
  <c r="S11" i="2"/>
  <c r="R11" i="2"/>
  <c r="E4" i="2"/>
  <c r="D4" i="1" s="1"/>
  <c r="F46" i="1"/>
  <c r="E46" i="1"/>
  <c r="F45" i="1"/>
  <c r="E45" i="1"/>
  <c r="F44" i="1"/>
  <c r="E44" i="1"/>
  <c r="F43" i="1"/>
  <c r="E43" i="1"/>
  <c r="F42" i="1"/>
  <c r="E42" i="1"/>
  <c r="F27" i="1"/>
  <c r="J16" i="1"/>
  <c r="V50" i="5" l="1"/>
  <c r="V36" i="3"/>
  <c r="V51" i="5" s="1"/>
  <c r="V50" i="3"/>
  <c r="D4" i="6"/>
  <c r="D4" i="5"/>
  <c r="D4" i="4"/>
  <c r="D4" i="3"/>
  <c r="T34" i="2"/>
  <c r="K10" i="5"/>
  <c r="K16" i="3"/>
  <c r="M52" i="3"/>
  <c r="M36" i="3"/>
  <c r="U33" i="2"/>
  <c r="U32" i="2" s="1"/>
  <c r="U28" i="3" s="1"/>
  <c r="R36" i="3"/>
  <c r="R51" i="5" s="1"/>
  <c r="R50" i="5"/>
  <c r="R47" i="3"/>
  <c r="V47" i="3"/>
  <c r="U47" i="3"/>
  <c r="T47" i="3"/>
  <c r="S47" i="3"/>
  <c r="I28" i="5"/>
  <c r="H28" i="5"/>
  <c r="L36" i="3"/>
  <c r="W47" i="3"/>
  <c r="J90" i="3"/>
  <c r="M16" i="3"/>
  <c r="M10" i="5" s="1"/>
  <c r="I91" i="3"/>
  <c r="H91" i="3"/>
  <c r="E10" i="5"/>
  <c r="Q52" i="3"/>
  <c r="Q36" i="3"/>
  <c r="K96" i="3"/>
  <c r="K14" i="1" s="1"/>
  <c r="L37" i="3"/>
  <c r="H97" i="3"/>
  <c r="L32" i="2"/>
  <c r="I16" i="3"/>
  <c r="H33" i="5"/>
  <c r="I33" i="5"/>
  <c r="M32" i="2"/>
  <c r="S50" i="3"/>
  <c r="S36" i="3"/>
  <c r="S51" i="5" s="1"/>
  <c r="S50" i="5"/>
  <c r="G90" i="3"/>
  <c r="E39" i="5" s="1"/>
  <c r="R52" i="5"/>
  <c r="K91" i="3"/>
  <c r="F92" i="3"/>
  <c r="G92" i="3"/>
  <c r="H16" i="3"/>
  <c r="K93" i="3"/>
  <c r="F96" i="3"/>
  <c r="G96" i="3"/>
  <c r="G98" i="3"/>
  <c r="I27" i="1"/>
  <c r="I24" i="5"/>
  <c r="I32" i="5"/>
  <c r="H32" i="5"/>
  <c r="W50" i="5"/>
  <c r="W36" i="3"/>
  <c r="W51" i="5" s="1"/>
  <c r="W49" i="3"/>
  <c r="R49" i="3"/>
  <c r="I89" i="3"/>
  <c r="G89" i="3"/>
  <c r="T35" i="2"/>
  <c r="R53" i="5"/>
  <c r="I96" i="3"/>
  <c r="H96" i="3"/>
  <c r="T33" i="2"/>
  <c r="T32" i="2" s="1"/>
  <c r="T28" i="3" s="1"/>
  <c r="S52" i="5"/>
  <c r="U35" i="2"/>
  <c r="G28" i="5"/>
  <c r="F28" i="5"/>
  <c r="S53" i="5"/>
  <c r="J89" i="3"/>
  <c r="J10" i="1" s="1"/>
  <c r="I52" i="3"/>
  <c r="I32" i="2"/>
  <c r="I36" i="3"/>
  <c r="F30" i="5" s="1"/>
  <c r="I15" i="1"/>
  <c r="W56" i="3"/>
  <c r="W54" i="5" s="1"/>
  <c r="U56" i="3"/>
  <c r="U54" i="5" s="1"/>
  <c r="V56" i="3"/>
  <c r="V54" i="5" s="1"/>
  <c r="T56" i="3"/>
  <c r="R56" i="3"/>
  <c r="R54" i="5" s="1"/>
  <c r="K94" i="3"/>
  <c r="I90" i="3"/>
  <c r="F39" i="5" s="1"/>
  <c r="H90" i="3"/>
  <c r="F97" i="3"/>
  <c r="G97" i="3"/>
  <c r="H37" i="3"/>
  <c r="H52" i="3" s="1"/>
  <c r="I98" i="3"/>
  <c r="H98" i="3"/>
  <c r="S56" i="3"/>
  <c r="S54" i="5" s="1"/>
  <c r="J92" i="3"/>
  <c r="P10" i="5"/>
  <c r="K92" i="3"/>
  <c r="M94" i="3"/>
  <c r="L94" i="3"/>
  <c r="D32" i="5"/>
  <c r="E32" i="5"/>
  <c r="D28" i="5"/>
  <c r="N16" i="3"/>
  <c r="N10" i="5"/>
  <c r="R40" i="3"/>
  <c r="V40" i="3"/>
  <c r="U40" i="3"/>
  <c r="O10" i="5"/>
  <c r="G10" i="5"/>
  <c r="Q10" i="5"/>
  <c r="G52" i="3"/>
  <c r="E98" i="3"/>
  <c r="D98" i="3"/>
  <c r="W40" i="3"/>
  <c r="P37" i="3"/>
  <c r="K97" i="3"/>
  <c r="K15" i="1" s="1"/>
  <c r="J97" i="3"/>
  <c r="G107" i="3"/>
  <c r="E28" i="5"/>
  <c r="G32" i="5"/>
  <c r="E107" i="3"/>
  <c r="D107" i="3"/>
  <c r="T29" i="3"/>
  <c r="R29" i="3"/>
  <c r="R37" i="3" s="1"/>
  <c r="M93" i="3"/>
  <c r="J52" i="3"/>
  <c r="G33" i="5"/>
  <c r="F33" i="5"/>
  <c r="J32" i="2"/>
  <c r="W30" i="3"/>
  <c r="T30" i="3"/>
  <c r="R30" i="3"/>
  <c r="K98" i="3" s="1"/>
  <c r="K16" i="1" s="1"/>
  <c r="E90" i="3"/>
  <c r="D39" i="5" s="1"/>
  <c r="D90" i="3"/>
  <c r="D20" i="3"/>
  <c r="D18" i="2" s="1"/>
  <c r="I10" i="5"/>
  <c r="U52" i="5"/>
  <c r="O16" i="3"/>
  <c r="E97" i="3"/>
  <c r="D97" i="3"/>
  <c r="S30" i="3"/>
  <c r="U53" i="5"/>
  <c r="E52" i="3"/>
  <c r="E36" i="3"/>
  <c r="O52" i="3"/>
  <c r="O36" i="3"/>
  <c r="H107" i="3"/>
  <c r="V48" i="3"/>
  <c r="U48" i="3"/>
  <c r="S48" i="3"/>
  <c r="F91" i="3"/>
  <c r="H10" i="5"/>
  <c r="G91" i="3"/>
  <c r="T52" i="5"/>
  <c r="F98" i="3"/>
  <c r="F52" i="3"/>
  <c r="F36" i="3"/>
  <c r="P52" i="3"/>
  <c r="J96" i="3"/>
  <c r="P36" i="3"/>
  <c r="J30" i="5" s="1"/>
  <c r="J32" i="5"/>
  <c r="H50" i="3"/>
  <c r="K107" i="3"/>
  <c r="K27" i="1" s="1"/>
  <c r="J107" i="3"/>
  <c r="L91" i="3"/>
  <c r="F32" i="5"/>
  <c r="M91" i="3"/>
  <c r="L93" i="3"/>
  <c r="E89" i="3"/>
  <c r="D89" i="3"/>
  <c r="D10" i="1" s="1"/>
  <c r="D19" i="3"/>
  <c r="D11" i="2" s="1"/>
  <c r="J10" i="5"/>
  <c r="V52" i="5"/>
  <c r="I92" i="3"/>
  <c r="H92" i="3"/>
  <c r="E96" i="3"/>
  <c r="D96" i="3"/>
  <c r="D52" i="3"/>
  <c r="D36" i="3"/>
  <c r="E33" i="5"/>
  <c r="D33" i="5"/>
  <c r="R48" i="3"/>
  <c r="W53" i="5"/>
  <c r="U41" i="3"/>
  <c r="F89" i="3"/>
  <c r="F10" i="1" s="1"/>
  <c r="F90" i="3"/>
  <c r="E92" i="3"/>
  <c r="D92" i="3"/>
  <c r="F93" i="3"/>
  <c r="D16" i="3"/>
  <c r="D17" i="3" s="1"/>
  <c r="J28" i="5"/>
  <c r="F103" i="3" l="1"/>
  <c r="G103" i="3"/>
  <c r="D9" i="5"/>
  <c r="E10" i="3"/>
  <c r="D18" i="3"/>
  <c r="D30" i="5"/>
  <c r="E30" i="5"/>
  <c r="J24" i="5"/>
  <c r="J27" i="1"/>
  <c r="G27" i="1"/>
  <c r="G24" i="5"/>
  <c r="F17" i="5"/>
  <c r="F15" i="1"/>
  <c r="W52" i="3"/>
  <c r="G30" i="5"/>
  <c r="G16" i="5"/>
  <c r="G14" i="1"/>
  <c r="F16" i="5"/>
  <c r="F14" i="1"/>
  <c r="H30" i="5"/>
  <c r="I30" i="5"/>
  <c r="E16" i="5"/>
  <c r="E14" i="1"/>
  <c r="J17" i="5"/>
  <c r="J15" i="1"/>
  <c r="G10" i="1"/>
  <c r="E38" i="5"/>
  <c r="S52" i="3"/>
  <c r="K103" i="3" s="1"/>
  <c r="F41" i="5"/>
  <c r="L52" i="3"/>
  <c r="D16" i="5"/>
  <c r="D14" i="1"/>
  <c r="F18" i="5"/>
  <c r="F16" i="1"/>
  <c r="H24" i="5"/>
  <c r="H27" i="1"/>
  <c r="F94" i="3"/>
  <c r="G94" i="3"/>
  <c r="J16" i="5"/>
  <c r="J14" i="1"/>
  <c r="D17" i="5"/>
  <c r="D15" i="1"/>
  <c r="M97" i="3"/>
  <c r="M15" i="1" s="1"/>
  <c r="L97" i="3"/>
  <c r="L15" i="1" s="1"/>
  <c r="T37" i="3"/>
  <c r="T54" i="5"/>
  <c r="M107" i="3"/>
  <c r="M27" i="1" s="1"/>
  <c r="L107" i="3"/>
  <c r="L27" i="1" s="1"/>
  <c r="E103" i="3"/>
  <c r="D103" i="3"/>
  <c r="D38" i="5"/>
  <c r="E10" i="1"/>
  <c r="E94" i="3"/>
  <c r="D40" i="5" s="1"/>
  <c r="D94" i="3"/>
  <c r="D10" i="5"/>
  <c r="J103" i="3"/>
  <c r="E41" i="5"/>
  <c r="E40" i="5"/>
  <c r="E17" i="5"/>
  <c r="E15" i="1"/>
  <c r="D24" i="5"/>
  <c r="D27" i="1"/>
  <c r="H18" i="5"/>
  <c r="H16" i="1"/>
  <c r="F38" i="5"/>
  <c r="I10" i="1"/>
  <c r="H17" i="5"/>
  <c r="H15" i="1"/>
  <c r="I94" i="3"/>
  <c r="F40" i="5" s="1"/>
  <c r="H94" i="3"/>
  <c r="R52" i="3"/>
  <c r="D18" i="5"/>
  <c r="D16" i="1"/>
  <c r="I18" i="5"/>
  <c r="I16" i="1"/>
  <c r="T50" i="5"/>
  <c r="T50" i="3"/>
  <c r="M96" i="3"/>
  <c r="M14" i="1" s="1"/>
  <c r="L96" i="3"/>
  <c r="L14" i="1" s="1"/>
  <c r="T36" i="3"/>
  <c r="T51" i="5" s="1"/>
  <c r="U50" i="5"/>
  <c r="U36" i="3"/>
  <c r="U51" i="5" s="1"/>
  <c r="U50" i="3"/>
  <c r="V52" i="3"/>
  <c r="M98" i="3"/>
  <c r="M16" i="1" s="1"/>
  <c r="L98" i="3"/>
  <c r="L16" i="1" s="1"/>
  <c r="E24" i="5"/>
  <c r="E27" i="1"/>
  <c r="E18" i="5"/>
  <c r="E16" i="1"/>
  <c r="H16" i="5"/>
  <c r="H14" i="1"/>
  <c r="G18" i="5"/>
  <c r="G16" i="1"/>
  <c r="G17" i="5"/>
  <c r="G15" i="1"/>
  <c r="I16" i="5"/>
  <c r="I14" i="1"/>
  <c r="J20" i="5" l="1"/>
  <c r="J23" i="1"/>
  <c r="U52" i="3"/>
  <c r="E56" i="1"/>
  <c r="K23" i="1"/>
  <c r="E17" i="3"/>
  <c r="E20" i="3"/>
  <c r="E18" i="2" s="1"/>
  <c r="E19" i="3"/>
  <c r="E11" i="2" s="1"/>
  <c r="T52" i="3"/>
  <c r="D20" i="5"/>
  <c r="D23" i="1"/>
  <c r="I103" i="3"/>
  <c r="H103" i="3"/>
  <c r="G23" i="1"/>
  <c r="G20" i="5"/>
  <c r="E54" i="1"/>
  <c r="E20" i="5"/>
  <c r="E53" i="1"/>
  <c r="E23" i="1"/>
  <c r="F20" i="5"/>
  <c r="F23" i="1"/>
  <c r="D87" i="3" l="1"/>
  <c r="D9" i="1" s="1"/>
  <c r="E9" i="5"/>
  <c r="F10" i="3"/>
  <c r="H20" i="5"/>
  <c r="H23" i="1"/>
  <c r="M103" i="3"/>
  <c r="L103" i="3"/>
  <c r="L23" i="1" s="1"/>
  <c r="I20" i="5"/>
  <c r="I23" i="1"/>
  <c r="E55" i="1"/>
  <c r="E18" i="3"/>
  <c r="E57" i="1" l="1"/>
  <c r="M23" i="1"/>
  <c r="F17" i="3"/>
  <c r="F19" i="3"/>
  <c r="F11" i="2" s="1"/>
  <c r="F20" i="3"/>
  <c r="F18" i="2" s="1"/>
  <c r="E63" i="3"/>
  <c r="D88" i="3"/>
  <c r="D63" i="3"/>
  <c r="D25" i="3" l="1"/>
  <c r="D27" i="3"/>
  <c r="D35" i="3"/>
  <c r="D39" i="3"/>
  <c r="E39" i="3"/>
  <c r="E27" i="3"/>
  <c r="E25" i="3"/>
  <c r="E35" i="3"/>
  <c r="E38" i="3" s="1"/>
  <c r="E42" i="3" s="1"/>
  <c r="F9" i="5"/>
  <c r="G10" i="3"/>
  <c r="F18" i="3"/>
  <c r="G17" i="3" l="1"/>
  <c r="G18" i="3"/>
  <c r="G63" i="3" s="1"/>
  <c r="G19" i="3"/>
  <c r="G11" i="2" s="1"/>
  <c r="G20" i="3"/>
  <c r="G18" i="2" s="1"/>
  <c r="E51" i="3"/>
  <c r="E53" i="3" s="1"/>
  <c r="E43" i="3"/>
  <c r="E31" i="3"/>
  <c r="E26" i="3"/>
  <c r="E25" i="2" s="1"/>
  <c r="E24" i="3"/>
  <c r="D31" i="5"/>
  <c r="D29" i="5"/>
  <c r="D38" i="3"/>
  <c r="D95" i="3"/>
  <c r="D24" i="3"/>
  <c r="D26" i="3"/>
  <c r="D25" i="2" s="1"/>
  <c r="D51" i="3"/>
  <c r="D31" i="3"/>
  <c r="F63" i="3"/>
  <c r="E88" i="3"/>
  <c r="D102" i="3" l="1"/>
  <c r="D53" i="3"/>
  <c r="E54" i="3"/>
  <c r="E60" i="3" s="1"/>
  <c r="D27" i="5"/>
  <c r="D42" i="3"/>
  <c r="G39" i="3"/>
  <c r="G27" i="3"/>
  <c r="G35" i="3"/>
  <c r="G38" i="3" s="1"/>
  <c r="G25" i="3"/>
  <c r="E44" i="3"/>
  <c r="E58" i="3" s="1"/>
  <c r="E59" i="3"/>
  <c r="D15" i="5"/>
  <c r="D109" i="3"/>
  <c r="D11" i="1" s="1"/>
  <c r="D13" i="1"/>
  <c r="F27" i="3"/>
  <c r="F25" i="3"/>
  <c r="F35" i="3"/>
  <c r="F39" i="3"/>
  <c r="D99" i="3"/>
  <c r="D17" i="1" s="1"/>
  <c r="D59" i="3"/>
  <c r="E87" i="3"/>
  <c r="E9" i="1" s="1"/>
  <c r="H10" i="3"/>
  <c r="G9" i="5"/>
  <c r="G51" i="3" l="1"/>
  <c r="G53" i="3" s="1"/>
  <c r="G26" i="3"/>
  <c r="G25" i="2" s="1"/>
  <c r="G31" i="3"/>
  <c r="G24" i="3"/>
  <c r="F51" i="3"/>
  <c r="F31" i="3"/>
  <c r="F26" i="3"/>
  <c r="F25" i="2" s="1"/>
  <c r="F24" i="3"/>
  <c r="E95" i="3"/>
  <c r="H20" i="3"/>
  <c r="H18" i="2" s="1"/>
  <c r="H17" i="3"/>
  <c r="H19" i="3"/>
  <c r="H11" i="2" s="1"/>
  <c r="F38" i="3"/>
  <c r="E29" i="5"/>
  <c r="D100" i="3"/>
  <c r="D19" i="1" s="1"/>
  <c r="D43" i="3"/>
  <c r="D44" i="3"/>
  <c r="E55" i="3"/>
  <c r="E57" i="3" s="1"/>
  <c r="D104" i="3"/>
  <c r="D54" i="3"/>
  <c r="D55" i="3"/>
  <c r="D22" i="1"/>
  <c r="D19" i="5"/>
  <c r="E31" i="5"/>
  <c r="G42" i="3"/>
  <c r="G43" i="3" s="1"/>
  <c r="F53" i="3" l="1"/>
  <c r="E102" i="3"/>
  <c r="H9" i="5"/>
  <c r="I10" i="3"/>
  <c r="F44" i="3"/>
  <c r="F58" i="3" s="1"/>
  <c r="F59" i="3"/>
  <c r="E99" i="3"/>
  <c r="E17" i="1" s="1"/>
  <c r="D106" i="3"/>
  <c r="D57" i="3"/>
  <c r="F42" i="3"/>
  <c r="E27" i="5"/>
  <c r="D105" i="3"/>
  <c r="D60" i="3"/>
  <c r="D21" i="5"/>
  <c r="D24" i="1"/>
  <c r="G44" i="3"/>
  <c r="G58" i="3" s="1"/>
  <c r="G59" i="3"/>
  <c r="H18" i="3"/>
  <c r="G54" i="3"/>
  <c r="G60" i="3" s="1"/>
  <c r="D101" i="3"/>
  <c r="D20" i="1" s="1"/>
  <c r="D58" i="3"/>
  <c r="E15" i="5"/>
  <c r="E109" i="3"/>
  <c r="E11" i="1" s="1"/>
  <c r="E13" i="1"/>
  <c r="D108" i="3" l="1"/>
  <c r="D23" i="5"/>
  <c r="D26" i="1"/>
  <c r="D22" i="5"/>
  <c r="D25" i="1"/>
  <c r="I17" i="3"/>
  <c r="I20" i="3"/>
  <c r="I18" i="2" s="1"/>
  <c r="I19" i="3"/>
  <c r="I11" i="2" s="1"/>
  <c r="E101" i="3"/>
  <c r="E20" i="1" s="1"/>
  <c r="D53" i="1"/>
  <c r="E22" i="1"/>
  <c r="E19" i="5"/>
  <c r="G55" i="3"/>
  <c r="G57" i="3" s="1"/>
  <c r="F43" i="3"/>
  <c r="E100" i="3"/>
  <c r="E19" i="1" s="1"/>
  <c r="F55" i="3"/>
  <c r="F54" i="3"/>
  <c r="E104" i="3"/>
  <c r="F57" i="3" l="1"/>
  <c r="E106" i="3"/>
  <c r="F87" i="3"/>
  <c r="F9" i="1" s="1"/>
  <c r="I9" i="5"/>
  <c r="J10" i="3"/>
  <c r="I18" i="3"/>
  <c r="D25" i="5"/>
  <c r="D28" i="1"/>
  <c r="E21" i="5"/>
  <c r="F53" i="1"/>
  <c r="E24" i="1"/>
  <c r="F60" i="3"/>
  <c r="E105" i="3"/>
  <c r="E108" i="3" l="1"/>
  <c r="E23" i="5"/>
  <c r="E26" i="1"/>
  <c r="I63" i="3"/>
  <c r="F88" i="3"/>
  <c r="H63" i="3"/>
  <c r="J18" i="3"/>
  <c r="J17" i="3"/>
  <c r="J20" i="3"/>
  <c r="J18" i="2" s="1"/>
  <c r="J19" i="3"/>
  <c r="J11" i="2" s="1"/>
  <c r="E22" i="5"/>
  <c r="E25" i="1"/>
  <c r="J9" i="5" l="1"/>
  <c r="K10" i="3"/>
  <c r="I25" i="3"/>
  <c r="I39" i="3"/>
  <c r="I27" i="3"/>
  <c r="I35" i="3"/>
  <c r="I38" i="3" s="1"/>
  <c r="I42" i="3" s="1"/>
  <c r="H25" i="3"/>
  <c r="H35" i="3"/>
  <c r="H39" i="3"/>
  <c r="H27" i="3"/>
  <c r="E25" i="5"/>
  <c r="E28" i="1"/>
  <c r="F31" i="5" l="1"/>
  <c r="I51" i="3"/>
  <c r="I53" i="3" s="1"/>
  <c r="I43" i="3"/>
  <c r="I31" i="3"/>
  <c r="I24" i="3"/>
  <c r="I26" i="3"/>
  <c r="I25" i="2" s="1"/>
  <c r="F29" i="5"/>
  <c r="H38" i="3"/>
  <c r="K17" i="3"/>
  <c r="K18" i="3"/>
  <c r="K20" i="3"/>
  <c r="K18" i="2" s="1"/>
  <c r="K19" i="3"/>
  <c r="K11" i="2" s="1"/>
  <c r="F95" i="3"/>
  <c r="H26" i="3"/>
  <c r="H25" i="2" s="1"/>
  <c r="H51" i="3"/>
  <c r="H24" i="3"/>
  <c r="H31" i="3"/>
  <c r="F15" i="5" l="1"/>
  <c r="F109" i="3"/>
  <c r="F11" i="1" s="1"/>
  <c r="F13" i="1"/>
  <c r="I44" i="3"/>
  <c r="I58" i="3" s="1"/>
  <c r="I59" i="3"/>
  <c r="F27" i="5"/>
  <c r="H42" i="3"/>
  <c r="F102" i="3"/>
  <c r="H53" i="3"/>
  <c r="I54" i="3"/>
  <c r="I60" i="3" s="1"/>
  <c r="I55" i="3"/>
  <c r="I57" i="3" s="1"/>
  <c r="K63" i="3"/>
  <c r="G88" i="3"/>
  <c r="J63" i="3"/>
  <c r="F99" i="3"/>
  <c r="F17" i="1" s="1"/>
  <c r="H59" i="3"/>
  <c r="G87" i="3"/>
  <c r="G9" i="1" s="1"/>
  <c r="K9" i="5"/>
  <c r="L10" i="3"/>
  <c r="F19" i="5" l="1"/>
  <c r="F22" i="1"/>
  <c r="F100" i="3"/>
  <c r="F19" i="1" s="1"/>
  <c r="H43" i="3"/>
  <c r="J25" i="3"/>
  <c r="J35" i="3"/>
  <c r="J27" i="3"/>
  <c r="J39" i="3"/>
  <c r="G31" i="5" s="1"/>
  <c r="H44" i="3"/>
  <c r="K39" i="3"/>
  <c r="K27" i="3"/>
  <c r="K35" i="3"/>
  <c r="K38" i="3" s="1"/>
  <c r="K42" i="3" s="1"/>
  <c r="K25" i="3"/>
  <c r="L17" i="3"/>
  <c r="L18" i="3"/>
  <c r="L20" i="3"/>
  <c r="L18" i="2" s="1"/>
  <c r="L19" i="3"/>
  <c r="L11" i="2" s="1"/>
  <c r="F104" i="3"/>
  <c r="H55" i="3"/>
  <c r="H54" i="3"/>
  <c r="F101" i="3" l="1"/>
  <c r="F20" i="1" s="1"/>
  <c r="H58" i="3"/>
  <c r="J24" i="3"/>
  <c r="J51" i="3"/>
  <c r="J31" i="3"/>
  <c r="J26" i="3"/>
  <c r="J25" i="2" s="1"/>
  <c r="G95" i="3"/>
  <c r="J38" i="3"/>
  <c r="G29" i="5"/>
  <c r="K51" i="3"/>
  <c r="K53" i="3" s="1"/>
  <c r="K31" i="3"/>
  <c r="K24" i="3"/>
  <c r="K43" i="3"/>
  <c r="K26" i="3"/>
  <c r="K25" i="2" s="1"/>
  <c r="F106" i="3"/>
  <c r="H57" i="3"/>
  <c r="F21" i="5"/>
  <c r="F24" i="1"/>
  <c r="L9" i="5"/>
  <c r="M10" i="3"/>
  <c r="F105" i="3"/>
  <c r="H60" i="3"/>
  <c r="G109" i="3" l="1"/>
  <c r="G11" i="1" s="1"/>
  <c r="G13" i="1"/>
  <c r="G15" i="5"/>
  <c r="F22" i="5"/>
  <c r="F25" i="1"/>
  <c r="M17" i="3"/>
  <c r="M19" i="3"/>
  <c r="M11" i="2" s="1"/>
  <c r="M20" i="3"/>
  <c r="M18" i="2" s="1"/>
  <c r="J44" i="3"/>
  <c r="J59" i="3"/>
  <c r="G99" i="3"/>
  <c r="G17" i="1" s="1"/>
  <c r="J42" i="3"/>
  <c r="G27" i="5"/>
  <c r="F108" i="3"/>
  <c r="F23" i="5"/>
  <c r="F26" i="1"/>
  <c r="J53" i="3"/>
  <c r="G102" i="3"/>
  <c r="K44" i="3"/>
  <c r="K58" i="3" s="1"/>
  <c r="K59" i="3"/>
  <c r="K54" i="3"/>
  <c r="K60" i="3" s="1"/>
  <c r="J58" i="3" l="1"/>
  <c r="G101" i="3"/>
  <c r="G20" i="1" s="1"/>
  <c r="G19" i="5"/>
  <c r="G22" i="1"/>
  <c r="D54" i="1"/>
  <c r="F25" i="5"/>
  <c r="F28" i="1"/>
  <c r="J54" i="3"/>
  <c r="J55" i="3"/>
  <c r="G104" i="3"/>
  <c r="M9" i="5"/>
  <c r="H87" i="3"/>
  <c r="H9" i="1" s="1"/>
  <c r="N10" i="3"/>
  <c r="M18" i="3"/>
  <c r="K55" i="3"/>
  <c r="K57" i="3" s="1"/>
  <c r="G100" i="3"/>
  <c r="G19" i="1" s="1"/>
  <c r="J43" i="3"/>
  <c r="J60" i="3" l="1"/>
  <c r="G105" i="3"/>
  <c r="J57" i="3"/>
  <c r="G106" i="3"/>
  <c r="G21" i="5"/>
  <c r="G24" i="1"/>
  <c r="F54" i="1"/>
  <c r="M63" i="3"/>
  <c r="L63" i="3"/>
  <c r="H88" i="3"/>
  <c r="N17" i="3"/>
  <c r="N18" i="3" s="1"/>
  <c r="N19" i="3"/>
  <c r="N11" i="2" s="1"/>
  <c r="N20" i="3"/>
  <c r="N18" i="2" s="1"/>
  <c r="L27" i="3" l="1"/>
  <c r="L39" i="3"/>
  <c r="L35" i="3"/>
  <c r="L25" i="3"/>
  <c r="M25" i="3"/>
  <c r="M27" i="3"/>
  <c r="M39" i="3"/>
  <c r="M35" i="3"/>
  <c r="M38" i="3" s="1"/>
  <c r="G23" i="5"/>
  <c r="G108" i="3"/>
  <c r="G26" i="1"/>
  <c r="G22" i="5"/>
  <c r="G25" i="1"/>
  <c r="N9" i="5"/>
  <c r="O10" i="3"/>
  <c r="M24" i="3" l="1"/>
  <c r="M31" i="3"/>
  <c r="M51" i="3"/>
  <c r="M53" i="3" s="1"/>
  <c r="M26" i="3"/>
  <c r="M25" i="2" s="1"/>
  <c r="M43" i="3"/>
  <c r="H31" i="5"/>
  <c r="O17" i="3"/>
  <c r="O20" i="3"/>
  <c r="O18" i="2" s="1"/>
  <c r="O19" i="3"/>
  <c r="O11" i="2" s="1"/>
  <c r="H29" i="5"/>
  <c r="L38" i="3"/>
  <c r="L51" i="3"/>
  <c r="L24" i="3"/>
  <c r="H95" i="3"/>
  <c r="L31" i="3"/>
  <c r="L26" i="3"/>
  <c r="L25" i="2" s="1"/>
  <c r="G25" i="5"/>
  <c r="G28" i="1"/>
  <c r="M42" i="3"/>
  <c r="H99" i="3" l="1"/>
  <c r="H17" i="1" s="1"/>
  <c r="L59" i="3"/>
  <c r="D43" i="1"/>
  <c r="D44" i="1"/>
  <c r="I87" i="3"/>
  <c r="I9" i="1" s="1"/>
  <c r="P10" i="3"/>
  <c r="D46" i="1"/>
  <c r="D42" i="1"/>
  <c r="O9" i="5"/>
  <c r="D45" i="1"/>
  <c r="O18" i="3"/>
  <c r="H102" i="3"/>
  <c r="L53" i="3"/>
  <c r="H27" i="5"/>
  <c r="L42" i="3"/>
  <c r="H109" i="3"/>
  <c r="H11" i="1" s="1"/>
  <c r="H15" i="5"/>
  <c r="H13" i="1"/>
  <c r="M54" i="3"/>
  <c r="M60" i="3" s="1"/>
  <c r="M55" i="3"/>
  <c r="M57" i="3" s="1"/>
  <c r="M44" i="3"/>
  <c r="M58" i="3" s="1"/>
  <c r="M59" i="3"/>
  <c r="H100" i="3" l="1"/>
  <c r="H19" i="1" s="1"/>
  <c r="L43" i="3"/>
  <c r="P17" i="3"/>
  <c r="P18" i="3"/>
  <c r="P19" i="3"/>
  <c r="P11" i="2" s="1"/>
  <c r="P20" i="3"/>
  <c r="P18" i="2" s="1"/>
  <c r="H104" i="3"/>
  <c r="L54" i="3"/>
  <c r="H19" i="5"/>
  <c r="H22" i="1"/>
  <c r="L44" i="3"/>
  <c r="O63" i="3"/>
  <c r="N63" i="3"/>
  <c r="D53" i="2"/>
  <c r="I88" i="3"/>
  <c r="H105" i="3" l="1"/>
  <c r="L60" i="3"/>
  <c r="H21" i="5"/>
  <c r="H24" i="1"/>
  <c r="N39" i="3"/>
  <c r="I31" i="5" s="1"/>
  <c r="N25" i="3"/>
  <c r="N27" i="3"/>
  <c r="N35" i="3"/>
  <c r="O39" i="3"/>
  <c r="O27" i="3"/>
  <c r="O25" i="3"/>
  <c r="O35" i="3"/>
  <c r="O38" i="3" s="1"/>
  <c r="O42" i="3" s="1"/>
  <c r="H101" i="3"/>
  <c r="H20" i="1" s="1"/>
  <c r="L58" i="3"/>
  <c r="Q10" i="3"/>
  <c r="P9" i="5"/>
  <c r="L55" i="3"/>
  <c r="Q18" i="3" l="1"/>
  <c r="Q17" i="3"/>
  <c r="Q19" i="3"/>
  <c r="Q11" i="2" s="1"/>
  <c r="Q20" i="3"/>
  <c r="Q18" i="2" s="1"/>
  <c r="N38" i="3"/>
  <c r="I29" i="5"/>
  <c r="N24" i="3"/>
  <c r="N31" i="3"/>
  <c r="N51" i="3"/>
  <c r="N26" i="3"/>
  <c r="N25" i="2" s="1"/>
  <c r="I95" i="3"/>
  <c r="O51" i="3"/>
  <c r="O53" i="3" s="1"/>
  <c r="O43" i="3"/>
  <c r="O31" i="3"/>
  <c r="O26" i="3"/>
  <c r="O25" i="2" s="1"/>
  <c r="O24" i="3"/>
  <c r="H106" i="3"/>
  <c r="L57" i="3"/>
  <c r="H22" i="5"/>
  <c r="H25" i="1"/>
  <c r="H23" i="5" l="1"/>
  <c r="H108" i="3"/>
  <c r="H26" i="1"/>
  <c r="N53" i="3"/>
  <c r="I102" i="3"/>
  <c r="N59" i="3"/>
  <c r="I99" i="3"/>
  <c r="I17" i="1" s="1"/>
  <c r="N42" i="3"/>
  <c r="N44" i="3" s="1"/>
  <c r="I27" i="5"/>
  <c r="O44" i="3"/>
  <c r="O58" i="3" s="1"/>
  <c r="O59" i="3"/>
  <c r="O54" i="3"/>
  <c r="O60" i="3" s="1"/>
  <c r="I109" i="3"/>
  <c r="I11" i="1" s="1"/>
  <c r="I15" i="5"/>
  <c r="I13" i="1"/>
  <c r="R10" i="3"/>
  <c r="J87" i="3"/>
  <c r="J9" i="1" s="1"/>
  <c r="Q9" i="5"/>
  <c r="Q63" i="3"/>
  <c r="J88" i="3"/>
  <c r="P63" i="3"/>
  <c r="N58" i="3" l="1"/>
  <c r="I101" i="3"/>
  <c r="I20" i="1" s="1"/>
  <c r="I100" i="3"/>
  <c r="I19" i="1" s="1"/>
  <c r="N43" i="3"/>
  <c r="R12" i="3"/>
  <c r="R11" i="3"/>
  <c r="R17" i="3" s="1"/>
  <c r="S10" i="3" s="1"/>
  <c r="I19" i="5"/>
  <c r="I22" i="1"/>
  <c r="D55" i="1"/>
  <c r="O55" i="3"/>
  <c r="O57" i="3" s="1"/>
  <c r="H28" i="1"/>
  <c r="H25" i="5"/>
  <c r="P27" i="3"/>
  <c r="P25" i="3"/>
  <c r="P35" i="3"/>
  <c r="P39" i="3"/>
  <c r="J31" i="5" s="1"/>
  <c r="N54" i="3"/>
  <c r="N55" i="3"/>
  <c r="I104" i="3"/>
  <c r="Q39" i="3"/>
  <c r="Q25" i="3"/>
  <c r="Q27" i="3"/>
  <c r="Q35" i="3"/>
  <c r="Q38" i="3" s="1"/>
  <c r="Q42" i="3" s="1"/>
  <c r="N60" i="3" l="1"/>
  <c r="I105" i="3"/>
  <c r="J29" i="5"/>
  <c r="P38" i="3"/>
  <c r="R47" i="5"/>
  <c r="R19" i="3"/>
  <c r="N57" i="3"/>
  <c r="I106" i="3"/>
  <c r="S11" i="3"/>
  <c r="K89" i="3" s="1"/>
  <c r="K10" i="1" s="1"/>
  <c r="S12" i="3"/>
  <c r="K90" i="3" s="1"/>
  <c r="R18" i="3"/>
  <c r="P51" i="3"/>
  <c r="P31" i="3"/>
  <c r="P26" i="3"/>
  <c r="P25" i="2" s="1"/>
  <c r="J95" i="3"/>
  <c r="P24" i="3"/>
  <c r="R20" i="3"/>
  <c r="R48" i="5"/>
  <c r="Q43" i="3"/>
  <c r="Q31" i="3"/>
  <c r="Q24" i="3"/>
  <c r="Q51" i="3"/>
  <c r="Q53" i="3" s="1"/>
  <c r="Q26" i="3"/>
  <c r="Q25" i="2" s="1"/>
  <c r="I21" i="5"/>
  <c r="F55" i="1"/>
  <c r="I24" i="1"/>
  <c r="S17" i="3" l="1"/>
  <c r="J15" i="5"/>
  <c r="J109" i="3"/>
  <c r="J11" i="1" s="1"/>
  <c r="J13" i="1"/>
  <c r="K87" i="3"/>
  <c r="K9" i="1" s="1"/>
  <c r="T10" i="3"/>
  <c r="I23" i="5"/>
  <c r="I108" i="3"/>
  <c r="I26" i="1"/>
  <c r="Q54" i="3"/>
  <c r="Q60" i="3" s="1"/>
  <c r="J99" i="3"/>
  <c r="J17" i="1" s="1"/>
  <c r="P59" i="3"/>
  <c r="Q44" i="3"/>
  <c r="Q58" i="3" s="1"/>
  <c r="Q59" i="3"/>
  <c r="P53" i="3"/>
  <c r="J102" i="3"/>
  <c r="R39" i="3"/>
  <c r="R27" i="3"/>
  <c r="P42" i="3"/>
  <c r="J27" i="5"/>
  <c r="S48" i="5"/>
  <c r="S20" i="3"/>
  <c r="S18" i="3"/>
  <c r="K88" i="3" s="1"/>
  <c r="I25" i="1"/>
  <c r="I22" i="5"/>
  <c r="S47" i="5"/>
  <c r="S19" i="3"/>
  <c r="P54" i="3" l="1"/>
  <c r="J104" i="3"/>
  <c r="Q55" i="3"/>
  <c r="Q57" i="3" s="1"/>
  <c r="J19" i="5"/>
  <c r="J22" i="1"/>
  <c r="I25" i="5"/>
  <c r="I28" i="1"/>
  <c r="T12" i="3"/>
  <c r="T11" i="3"/>
  <c r="S39" i="3"/>
  <c r="S27" i="3"/>
  <c r="J100" i="3"/>
  <c r="J19" i="1" s="1"/>
  <c r="P43" i="3"/>
  <c r="R31" i="3"/>
  <c r="R35" i="3"/>
  <c r="R38" i="3" s="1"/>
  <c r="R42" i="3" s="1"/>
  <c r="R43" i="3" s="1"/>
  <c r="P44" i="3"/>
  <c r="R44" i="3" l="1"/>
  <c r="R58" i="3" s="1"/>
  <c r="R59" i="3"/>
  <c r="S35" i="3"/>
  <c r="S38" i="3" s="1"/>
  <c r="S42" i="3" s="1"/>
  <c r="S43" i="3" s="1"/>
  <c r="S31" i="3"/>
  <c r="P58" i="3"/>
  <c r="J101" i="3"/>
  <c r="J20" i="1" s="1"/>
  <c r="J21" i="5"/>
  <c r="J24" i="1"/>
  <c r="K95" i="3"/>
  <c r="T48" i="5"/>
  <c r="T20" i="3"/>
  <c r="P60" i="3"/>
  <c r="J105" i="3"/>
  <c r="T47" i="5"/>
  <c r="T19" i="3"/>
  <c r="R51" i="3"/>
  <c r="T17" i="3"/>
  <c r="P55" i="3"/>
  <c r="S51" i="3" l="1"/>
  <c r="S53" i="3" s="1"/>
  <c r="P57" i="3"/>
  <c r="J106" i="3"/>
  <c r="U10" i="3"/>
  <c r="T18" i="3"/>
  <c r="S44" i="3"/>
  <c r="S59" i="3"/>
  <c r="R53" i="3"/>
  <c r="K102" i="3"/>
  <c r="K100" i="3"/>
  <c r="K19" i="1" s="1"/>
  <c r="S54" i="3"/>
  <c r="S60" i="3" s="1"/>
  <c r="S55" i="5" s="1"/>
  <c r="K109" i="3"/>
  <c r="K11" i="1" s="1"/>
  <c r="K13" i="1"/>
  <c r="K99" i="3"/>
  <c r="K17" i="1" s="1"/>
  <c r="J22" i="5"/>
  <c r="J25" i="1"/>
  <c r="S58" i="3" l="1"/>
  <c r="K101" i="3"/>
  <c r="K20" i="1" s="1"/>
  <c r="T39" i="3"/>
  <c r="T27" i="3"/>
  <c r="D56" i="1"/>
  <c r="K22" i="1"/>
  <c r="R54" i="3"/>
  <c r="K104" i="3"/>
  <c r="U12" i="3"/>
  <c r="U11" i="3"/>
  <c r="U17" i="3" s="1"/>
  <c r="U18" i="3" s="1"/>
  <c r="J23" i="5"/>
  <c r="J108" i="3"/>
  <c r="J26" i="1"/>
  <c r="S55" i="3"/>
  <c r="S57" i="3" s="1"/>
  <c r="R60" i="3" l="1"/>
  <c r="R55" i="5" s="1"/>
  <c r="K105" i="3"/>
  <c r="K25" i="1" s="1"/>
  <c r="R55" i="3"/>
  <c r="J25" i="5"/>
  <c r="J28" i="1"/>
  <c r="T35" i="3"/>
  <c r="T38" i="3" s="1"/>
  <c r="T42" i="3" s="1"/>
  <c r="T31" i="3"/>
  <c r="U39" i="3"/>
  <c r="U27" i="3"/>
  <c r="L95" i="3" s="1"/>
  <c r="L87" i="3"/>
  <c r="L9" i="1" s="1"/>
  <c r="V10" i="3"/>
  <c r="U47" i="5"/>
  <c r="U19" i="3"/>
  <c r="L89" i="3"/>
  <c r="L10" i="1" s="1"/>
  <c r="L88" i="3"/>
  <c r="U48" i="5"/>
  <c r="U20" i="3"/>
  <c r="L90" i="3"/>
  <c r="K24" i="1"/>
  <c r="F56" i="1"/>
  <c r="T51" i="3" l="1"/>
  <c r="T53" i="3" s="1"/>
  <c r="L109" i="3"/>
  <c r="L11" i="1" s="1"/>
  <c r="L13" i="1"/>
  <c r="T43" i="3"/>
  <c r="V11" i="3"/>
  <c r="V12" i="3"/>
  <c r="U35" i="3"/>
  <c r="U38" i="3" s="1"/>
  <c r="U42" i="3" s="1"/>
  <c r="L100" i="3" s="1"/>
  <c r="L19" i="1" s="1"/>
  <c r="U31" i="3"/>
  <c r="L99" i="3" s="1"/>
  <c r="L17" i="1" s="1"/>
  <c r="R57" i="3"/>
  <c r="K106" i="3"/>
  <c r="T44" i="3"/>
  <c r="T59" i="3"/>
  <c r="U43" i="3" l="1"/>
  <c r="V48" i="5"/>
  <c r="V20" i="3"/>
  <c r="U44" i="3"/>
  <c r="U58" i="3" s="1"/>
  <c r="U59" i="3"/>
  <c r="V47" i="5"/>
  <c r="V19" i="3"/>
  <c r="K108" i="3"/>
  <c r="K28" i="1" s="1"/>
  <c r="K26" i="1"/>
  <c r="U51" i="3"/>
  <c r="T54" i="3"/>
  <c r="T58" i="3"/>
  <c r="V17" i="3"/>
  <c r="L101" i="3" l="1"/>
  <c r="L20" i="1" s="1"/>
  <c r="T60" i="3"/>
  <c r="T55" i="5" s="1"/>
  <c r="T55" i="3"/>
  <c r="W10" i="3"/>
  <c r="V18" i="3"/>
  <c r="U53" i="3"/>
  <c r="L102" i="3"/>
  <c r="L22" i="1" s="1"/>
  <c r="V27" i="3" l="1"/>
  <c r="V39" i="3"/>
  <c r="W11" i="3"/>
  <c r="W12" i="3"/>
  <c r="T57" i="3"/>
  <c r="U54" i="3"/>
  <c r="L104" i="3"/>
  <c r="L24" i="1" s="1"/>
  <c r="W17" i="3" l="1"/>
  <c r="M87" i="3"/>
  <c r="M9" i="1" s="1"/>
  <c r="W18" i="3"/>
  <c r="W20" i="3"/>
  <c r="W48" i="5"/>
  <c r="M90" i="3"/>
  <c r="W19" i="3"/>
  <c r="W47" i="5"/>
  <c r="M89" i="3"/>
  <c r="M10" i="1" s="1"/>
  <c r="U60" i="3"/>
  <c r="U55" i="5" s="1"/>
  <c r="L105" i="3"/>
  <c r="L25" i="1" s="1"/>
  <c r="U55" i="3"/>
  <c r="V35" i="3"/>
  <c r="V38" i="3" s="1"/>
  <c r="V42" i="3" s="1"/>
  <c r="V31" i="3"/>
  <c r="V51" i="3" l="1"/>
  <c r="V44" i="3"/>
  <c r="V59" i="3"/>
  <c r="V53" i="3"/>
  <c r="V43" i="3"/>
  <c r="U57" i="3"/>
  <c r="L106" i="3"/>
  <c r="W39" i="3"/>
  <c r="W27" i="3"/>
  <c r="M88" i="3"/>
  <c r="L108" i="3" l="1"/>
  <c r="L28" i="1" s="1"/>
  <c r="L26" i="1"/>
  <c r="V54" i="3"/>
  <c r="W35" i="3"/>
  <c r="W38" i="3" s="1"/>
  <c r="W42" i="3" s="1"/>
  <c r="M100" i="3" s="1"/>
  <c r="M19" i="1" s="1"/>
  <c r="W31" i="3"/>
  <c r="M95" i="3"/>
  <c r="V58" i="3"/>
  <c r="W43" i="3" l="1"/>
  <c r="M109" i="3"/>
  <c r="M11" i="1" s="1"/>
  <c r="M13" i="1"/>
  <c r="W44" i="3"/>
  <c r="W59" i="3"/>
  <c r="M99" i="3"/>
  <c r="M17" i="1" s="1"/>
  <c r="W51" i="3"/>
  <c r="V60" i="3"/>
  <c r="V55" i="5" s="1"/>
  <c r="V55" i="3"/>
  <c r="V57" i="3" l="1"/>
  <c r="W53" i="3"/>
  <c r="M102" i="3"/>
  <c r="W58" i="3"/>
  <c r="M101" i="3"/>
  <c r="M20" i="1" s="1"/>
  <c r="M22" i="1" l="1"/>
  <c r="D57" i="1"/>
  <c r="W54" i="3"/>
  <c r="W55" i="3" s="1"/>
  <c r="M104" i="3"/>
  <c r="W57" i="3" l="1"/>
  <c r="M106" i="3"/>
  <c r="F57" i="1"/>
  <c r="M24" i="1"/>
  <c r="W60" i="3"/>
  <c r="W55" i="5" s="1"/>
  <c r="M105" i="3"/>
  <c r="M25" i="1" s="1"/>
  <c r="M108" i="3" l="1"/>
  <c r="M28" i="1" s="1"/>
  <c r="M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tc={A518F3B3-C743-4D43-8F24-4B5FAD0B4E8A}</author>
    <author>tc={9E2C135F-F8EE-4D5D-866F-EDB81E504D9B}</author>
    <author>tc={EE8B9BC0-216C-49ED-BDDB-C319B1100EE3}</author>
    <author>tc={CE437C96-4E8F-43E1-A742-DAED2FBCE51B}</author>
    <author>tc={0EFBCE22-A056-4A37-9930-C6491BACCF46}</author>
    <author>tc={32FF70A8-0AE0-4555-93E4-4829463A88E9}</author>
    <author>tc={CD45BCBD-1572-4B49-A496-EE34E6284B4C}</author>
    <author>tc={65509F12-7167-4AA2-8793-4CC2F2D67EDF}</author>
    <author>tc={86E226C9-E3FD-4081-B46E-C55CBE336BEA}</author>
  </authors>
  <commentList>
    <comment ref="D41"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Judgement: allocate 10% of H1 performance fees to Q1 and 90% to Q2. Q1/Q3 disclosures provide AUM, not earnings. This allows limited intra-half crystallisations while concentrating recognition in the reporting half-end quarter. It is not a disclosed quarterly result. Change this input to test timing; H1 and FY totals stay fixed.</t>
      </text>
    </comment>
    <comment ref="D42"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Judgement: allocate 10% of FY less H1 performance fees to Q3 and 90% to Q4. Forecasts copy the corresponding 2025 estimated quarter, as required by the exercise. This timing is an assumption, not observed seasonality.</t>
      </text>
    </comment>
    <comment ref="D50"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Uses the published 2025 average net management-fee margin of 56bp, held flat under the exercise. H1 2026 reported 52bp and year-end 2025 run-rate margin was 52bp. Forecast assumes a recovery to the 2025 average. Midpoint AUM is a proxy; historical fees / midpoint AUM need not exactly match the published fund-level margin.</t>
      </text>
    </comment>
    <comment ref="D51"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All fixed compensation is assigned to the management-fee business, consistent with treating disclosed performance-fee compensation as variable. ($481m management compensation less $274m fixed) / $1,077m net management fees = variable management compensation ratio.</t>
      </text>
    </comment>
    <comment ref="D52"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Company groups seed investment gains with performance-fee profits. Allocate disclosed $194m performance-fee compensation across $281m fees plus $38m seed gains at one 2025 participation ratio. This is a model attribution. A zero fee scenario removes the fee-linked compensation; seed-linked compensation remains with the seed gain assumption.</t>
      </text>
    </comment>
    <comment ref="D53" authorId="5" shapeId="0" xr:uid="{00000000-0006-0000-0100-000006000000}">
      <text>
        <t>[Threaded comment]
Your version of Excel allows you to read this threaded comment; however, any edits to it will get removed if the file is opened in a newer version of Excel. Learn more: https://go.microsoft.com/fwlink/?linkid=870924
Comment:
    Calibrated blended servicing cost per dollar of midpoint total AUM. Company quotes around 5bp on a narrower AUM perimeter excluding systematic long-only; applying 5bp to total AUM would overstate costs. This blended rate assumes a stable servicing mix.</t>
      </text>
    </comment>
    <comment ref="D56" authorId="6" shapeId="0" xr:uid="{00000000-0006-0000-0100-000007000000}">
      <text>
        <t>[Threaded comment]
Your version of Excel allows you to read this threaded comment; however, any edits to it will get removed if the file is opened in a newer version of Excel. Learn more: https://go.microsoft.com/fwlink/?linkid=870924
Comment:
    Use unrounded ratio $86m/$407m, approximately 21.13%, rather than rounded published 21%. Apply to forecast quarters only; actual H1 2026 tax and shares stay reported.</t>
      </text>
    </comment>
    <comment ref="D57" authorId="7" shapeId="0" xr:uid="{00000000-0006-0000-0100-000008000000}">
      <text>
        <t>[Threaded comment]
Your version of Excel allows you to read this threaded comment; however, any edits to it will get removed if the file is opened in a newer version of Excel. Learn more: https://go.microsoft.com/fwlink/?linkid=870924
Comment:
    Hold base-year diluted weighted-average shares at 1,164.877368 million for forecast quarters. No incremental buyback or issuance is assumed; FY2026 averages actual H1 shares with this H2 forecast.</t>
      </text>
    </comment>
    <comment ref="D64" authorId="8" shapeId="0" xr:uid="{00000000-0006-0000-0100-000009000000}">
      <text>
        <t>[Threaded comment]
Your version of Excel allows you to read this threaded comment; however, any edits to it will get removed if the file is opened in a newer version of Excel. Learn more: https://go.microsoft.com/fwlink/?linkid=870924
Comment:
    Seed-book funding remains at 2025 annual expense / 4, including in the zero-performance-fee case, because seed investment exposure is held unchanged.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tc={CDBEA398-A87B-42B5-AD35-F3EFE4D09F9A}</author>
    <author>tc={B0FDDE5E-33B2-408F-96E2-3735FDEF93F1}</author>
    <author>tc={F2F4C977-6DEA-4976-8DED-74718DA428B4}</author>
    <author>tc={276E7B68-75C7-4D53-95C4-DF7FFCFF7955}</author>
    <author>tc={4DEDCDD7-B36D-416F-8471-BEB418A7E277}</author>
    <author>tc={80901E30-2508-42F2-9B6B-C949BA11BEC8}</author>
    <author>tc={BEA9853A-0C73-4500-A479-B138DD523D21}</author>
    <author>tc={429FE215-296E-4018-B00C-6A631CCA5B5C}</author>
    <author>tc={5A22C8DB-D5F4-45A8-BAD3-807CBD934D74}</author>
    <author>tc={62A5B251-23DF-4ADB-91C2-4C015C6CD153}</author>
    <author>tc={ED707D1E-5FA7-46B7-B4CE-A1E728DE8662}</author>
    <author>tc={1D1AFE4F-BC2D-4828-B880-9BF477D6A632}</author>
    <author>tc={504353C4-64AA-497F-9BF0-60DDD5B988B0}</author>
    <author>tc={CC41711F-995B-4B59-9724-83F999910457}</author>
    <author>tc={A6371CA5-F33F-4E53-87EA-AE3084CF521E}</author>
    <author>tc={76F46779-58E4-4826-8D2E-530FEB1770C4}</author>
    <author>tc={B0F7780E-A036-42B0-8AA7-8AA403D3E040}</author>
    <author>tc={73DF9FF1-DFB3-499A-B10C-6FCE23A94B33}</author>
    <author>tc={494DC3C8-2796-40DF-87DE-12190BA64EC8}</author>
    <author>tc={135E8D6C-A270-49F7-940D-253A3407AF24}</author>
    <author>tc={60F95891-594C-4F78-9F79-39DCDB7C8D7A}</author>
    <author>tc={AC915DDC-F7C0-4167-AC50-32A951C85312}</author>
    <author>tc={76F830D2-B112-4B9F-B1D6-F805C99922FC}</author>
    <author>tc={95A7311D-FA8E-4B9A-A44F-37191726F4AF}</author>
    <author>tc={F528DE82-9DF0-41E1-A733-4D68E425D096}</author>
    <author>tc={FEE1BAF1-EF62-4DD7-9137-0C95E2AC4C62}</author>
    <author>tc={E7915B02-B609-4285-A7FC-092F241B45B5}</author>
    <author>tc={FB22CC4A-6720-4A90-B232-13088DC2A665}</author>
    <author>tc={9C8AC854-930F-418B-B10E-8D1DBCC191F2}</author>
    <author>tc={B460E999-37D1-4CD7-AFC2-4985710ACFD5}</author>
    <author>tc={FB19E5D7-1B4E-4A5B-86D7-B1AA23E5FCFC}</author>
    <author>tc={9058BD93-430A-431B-886C-9A4F19BBA3D2}</author>
    <author>tc={9C180493-AABB-4B91-A9AA-09B5F7627B98}</author>
    <author>tc={7122B149-84C7-4533-91A9-121B33BD2BB0}</author>
    <author>tc={F44AADBF-964B-460C-9322-ABC03A9EDB58}</author>
    <author>tc={4B656B23-E729-4BDF-B8D2-EF6CB30D6154}</author>
    <author>tc={06D771BB-DB19-4ADF-824D-A24BA63350FC}</author>
    <author>tc={49CF4BF3-4021-4AEF-A012-C64E67B39B5F}</author>
    <author>tc={92731F40-E21C-49DA-B050-60028E5158D4}</author>
    <author>tc={848EC7D1-27EF-4739-977E-AF9534B53769}</author>
    <author>tc={77F513D3-29E2-4707-B412-DF96757AD4F9}</author>
    <author>tc={2CFEAE2F-9CC3-4F12-81E0-C9FAAF7448C0}</author>
    <author>tc={49F2188A-07C8-42EE-B103-7574446B6774}</author>
    <author>tc={8705414B-3BEF-4FFD-A063-8FEAF96952C3}</author>
    <author>tc={DFF262ED-6C1E-462D-930D-1700E90C6795}</author>
    <author>tc={53DCF9A0-A16B-4331-BF80-2648FD8A8FD8}</author>
    <author>tc={B28F53C0-486E-4323-9EA4-4239ECCB1D31}</author>
    <author>tc={9816D617-9022-43F6-8D80-90CA65AB6A3C}</author>
    <author>tc={6E52B917-909F-4B01-82CC-F53A3361CC00}</author>
    <author>tc={E0CA5B2D-58E4-4042-9D22-89F520C12D79}</author>
    <author>tc={852D9A22-5ED4-4297-B476-95E962AFBE14}</author>
    <author>tc={7F4FAF32-8D8D-4DD7-AB86-CAD2AFB66E57}</author>
    <author>tc={DC28E265-D571-4CE3-88AE-F1319DF25AB9}</author>
    <author>tc={82766DE5-8A90-485E-88AC-8C18E46C8E32}</author>
    <author>tc={996A2051-7D91-4685-B885-C14759D71C47}</author>
    <author>tc={60F69169-1E74-44E0-967C-168C528EB13C}</author>
    <author>tc={2018AB70-4E29-4DD6-8905-3F3A266C16A1}</author>
    <author>tc={FECCCA5B-FBEF-4ED7-A7CE-818B9B715666}</author>
    <author>tc={0A238D02-B5B2-481E-8E9A-1DB03A35A15D}</author>
    <author>tc={98F88CE0-B5FB-48CF-97EF-83E5721978DD}</author>
    <author>tc={387C1376-44DE-4733-882C-7D153DA2E3A3}</author>
    <author>tc={0B9183E6-955A-4D5F-9D63-69147657C5EF}</author>
    <author>tc={B4DE6BC0-661B-400E-9A00-AFB7BA55A893}</author>
    <author>tc={63A6945A-2160-4619-89C7-0DB4C638DD35}</author>
    <author>tc={7EC18440-F69C-46A5-9F9C-F09755AB2C1C}</author>
    <author>tc={DF9DC8F2-5BD1-4FD2-AADB-7732C5CD8BE9}</author>
    <author>tc={C832E1B3-2654-4688-856A-456B2BD870EB}</author>
    <author>tc={845C8A25-B55D-474B-9D95-8586253BE882}</author>
    <author>tc={C9CE45F5-622D-4530-BF4D-D5D1FE0AAC67}</author>
    <author>tc={BE612031-8B71-46E1-A677-3948A2DD5DF6}</author>
    <author>tc={181FF860-3A88-4592-88AD-05DE35CE76F5}</author>
    <author>tc={C2A2B71A-7EE4-43A9-A68C-97B0C465C984}</author>
    <author>tc={FCD37828-12AE-4502-954E-85EAFDDAE799}</author>
    <author>tc={74A1B556-4C20-4703-BBDC-A825C3DCA3DC}</author>
    <author>tc={C5E0A99D-292B-4CC3-BC82-F97CDC19E7AF}</author>
    <author>tc={4511C223-3D88-4324-943F-05DE5965E9EF}</author>
    <author>tc={F2B55574-73A0-4E99-8920-D1BE545CEADA}</author>
    <author>tc={E3AA4A42-8EC5-48B7-9983-E3F1D1ED6532}</author>
    <author>tc={DF7C1280-7242-4023-80F8-B1C236449BA9}</author>
    <author>tc={1A9D1B19-4DBE-42A0-A1BB-798F398907EA}</author>
    <author>tc={A10DA57A-3BAB-41C8-AA2B-2122630CC187}</author>
    <author>tc={A14AC5B1-D683-41B4-9760-95995468839E}</author>
    <author>tc={E6FDC7DB-84F2-4F89-B243-3103DDA89E98}</author>
    <author>tc={5FA5B884-9E53-42E0-8EE7-C8F751ECBEA0}</author>
    <author>tc={3FA8A3EB-D5A3-4B20-A182-B149E18CB7FD}</author>
    <author>tc={394BE311-AC96-4C0A-8C2F-887C6002D72B}</author>
    <author>tc={7D7275BD-80F8-4DE6-96B3-A9FE89EEA0CF}</author>
    <author>tc={705C259E-8F78-428E-B61B-7E23E3ACC551}</author>
    <author>tc={0C7483C1-ACA7-4BED-97EA-643A5D854CBD}</author>
    <author>tc={4D5D516E-BFA3-4A7E-B630-20AFE0D4215D}</author>
    <author>tc={459AC59F-8298-4953-BC65-8DA104CDC31F}</author>
    <author>tc={FFBD6B58-FA23-4D66-9523-85EC12DD399D}</author>
    <author>tc={300D38E4-925C-44CB-8B98-07BF468177A7}</author>
    <author>tc={B28BC655-9591-4BC3-9BDE-5354C746FE95}</author>
    <author>tc={DCA8D290-6DD4-4005-89CA-7BDAD259278E}</author>
    <author>tc={29124994-5B83-4587-9C01-08EA2561CC5E}</author>
    <author>tc={3F5A6853-8DF5-4812-9AC0-795EAF07336A}</author>
    <author>tc={5B57672A-4620-425B-9BA1-6FD78DF3B9AA}</author>
    <author>tc={B100EF82-E684-464A-836C-7119DA64B9E1}</author>
    <author>tc={CA61C48A-291F-4C6F-B1F8-58A03E711BE8}</author>
    <author>tc={F28C6C7A-76C4-4BFA-B356-278551D0787E}</author>
    <author>tc={44466051-0B5B-4BAB-8107-2CFECE3F5498}</author>
    <author>tc={3BFE885A-F293-47EC-87AC-F97A23291813}</author>
    <author>tc={6BF2C1D8-FDC3-4F6C-A213-AD6F79D805F0}</author>
    <author>tc={FCB945FC-1D22-40D8-9FEC-10543EC0859C}</author>
    <author>tc={F6DB4947-A6BF-4EF4-A5A1-3FC6F8213885}</author>
    <author>tc={D441C1B3-C4C1-433F-8780-7124C582132A}</author>
    <author>tc={8EB4E56E-7752-4001-A88E-5EF61A6982CF}</author>
    <author>tc={25467E83-2EE4-4D03-9C57-CC801D4C9A69}</author>
    <author>tc={24D82B9B-80D4-414F-B947-D190283E8F12}</author>
    <author>tc={2A276CAC-48D2-4A05-A67B-BDF497A01974}</author>
    <author>tc={949CD26B-9B55-4D6C-8106-20715CBE53D5}</author>
    <author>tc={E9D35F43-1D40-43A6-9215-EBBBB2F69E79}</author>
    <author>tc={2C22667C-38DE-459F-94A4-F5E01151AB1F}</author>
    <author>tc={4DA5C470-45DA-4DFD-B474-1E0556F79DF2}</author>
    <author>tc={28465B0C-95AD-45AC-B426-AEE0E871063A}</author>
    <author>tc={69A424DE-5ECA-402A-A31E-7C3205CADF9C}</author>
    <author>tc={C8DD3865-59BA-4776-8FF0-31713684651B}</author>
    <author>tc={462286B0-EABB-48D7-8E4E-09C54901E22F}</author>
    <author>tc={F0CF19B1-2051-4B7D-8178-BD3BA8D72671}</author>
    <author>tc={22962F43-7F69-464C-B2C5-A782B78AF582}</author>
    <author>tc={35912F44-22DF-4D4F-9A8F-44719D6442F4}</author>
    <author>tc={51901AEE-6B95-40B9-84F2-1449984262AD}</author>
    <author>tc={D698E4FF-ABD8-4867-8859-BDF60EAC2E27}</author>
    <author>tc={B5C73332-99E5-44F1-9D90-8BE2FA2768BC}</author>
    <author>tc={6EC716FB-D4F7-43D7-A722-F09C95823E81}</author>
    <author>tc={9BCB135D-6DE0-4BC1-857A-B6144E59B952}</author>
    <author>tc={9D3ABD58-530A-42E0-BCA6-835AD3E69734}</author>
    <author>tc={294A057F-B2EB-49A5-989E-A70F3664562B}</author>
    <author>tc={A34E647E-368B-421A-AEA5-E8496DA8B539}</author>
    <author>tc={45A025C7-A302-4455-B237-01C187B904A9}</author>
    <author>tc={CF49B1CB-6DF2-4E2C-8924-6B1DC2340628}</author>
    <author>tc={6790A9AD-D0BC-4EB2-8119-BAE38FCC0C21}</author>
    <author>tc={D55F79A6-E2F1-4B1E-B129-1145D6940F74}</author>
    <author>tc={9A87CC3F-6C40-4384-A6AF-C433E8B3A842}</author>
    <author>tc={7F8A5ABC-3A07-40CB-B2A7-8879E5837C86}</author>
    <author>tc={9C7B7306-970A-4E87-B3EB-8EC273D57188}</author>
    <author>tc={92474FAA-CCD1-4DD9-A22F-F5DA99DAC083}</author>
    <author>tc={5505FAB5-EB4B-4DD8-92C4-0E6286E0B4F6}</author>
    <author>tc={C065CC3D-7C8B-43E0-958E-8611D9523BAF}</author>
    <author>tc={45E017D5-4DB8-412C-A582-FF611FDE7F5E}</author>
    <author>tc={5AACE94D-B5C0-4EC9-9AE5-868B38F312A6}</author>
    <author>tc={BCEB6555-9DA6-4ED5-9E66-187B7597362A}</author>
    <author>tc={16695CDC-EDD6-483D-9C7A-B76F4504A457}</author>
    <author>tc={49A3A87E-B4BC-4713-80B4-CC2E11BC2D35}</author>
    <author>tc={6D978448-B6E1-4779-BBDC-054D8DFEF20B}</author>
    <author>tc={0E19887B-3CBD-423E-B90D-6A4A4B8BEEFE}</author>
    <author>tc={16E58226-23D1-42FD-9C6D-BB38C0DD1C28}</author>
    <author>tc={77CCEABB-DDF6-40E3-B071-D0ED4F22F913}</author>
    <author>tc={BD756519-690D-428A-95B8-19DBD0092C90}</author>
    <author>tc={FE31C41C-9F6F-4648-ABC2-9C1C2F0503E9}</author>
    <author>tc={C8054085-F8EC-4AB9-BD9B-299B4EDCCFF4}</author>
    <author>tc={E7D9DD3E-4B74-47EB-B84F-2883DF0B065E}</author>
    <author>tc={5C045C40-226D-4AE8-B240-FFF39FA00DDB}</author>
    <author>tc={3975EF12-93C2-406F-8016-FD1B2EDA04C0}</author>
    <author>tc={B01B3E09-907D-4221-996B-2B75FDAFD7C8}</author>
    <author>tc={4ACC3201-EDA5-45EE-BADC-A30B0CCE9BA4}</author>
    <author>tc={50087561-1B31-4946-8A2B-814239F6F598}</author>
    <author>tc={D19D49E1-EF3D-4B6F-9779-B4F70369FA4C}</author>
    <author>tc={F83B69D2-66BE-41A0-B454-02167939DBD9}</author>
    <author>tc={09F3D790-AC3F-4143-983A-1B60A14BD342}</author>
    <author>tc={8E4976D2-06AE-410B-B574-A6EB6F76F718}</author>
    <author>tc={ADD9F071-F4C9-412A-A065-2FDA79C757F9}</author>
    <author>tc={5EEDC709-998C-419B-B053-65BD93A8EB6B}</author>
    <author>tc={223CD6F7-2A53-465E-88BC-B937FE5009DE}</author>
    <author>tc={F4E48961-6865-4004-BFAA-3E8B1AD7E5BE}</author>
    <author>tc={FB73BB6A-E2C4-464B-A0E5-84DA3C62688F}</author>
    <author>tc={D1988D8A-49A2-4A96-8A84-0F22F362CC2D}</author>
    <author>tc={081F17D0-4855-4B76-BD8D-34E3F9747514}</author>
    <author>tc={CDD103D8-732D-45CD-A6FF-1F1BFB91E1E7}</author>
    <author>tc={68957FF4-E76F-44B3-998B-484FFB19D68B}</author>
    <author>tc={F086696B-6333-4CD5-94E6-F8AE39E3ED72}</author>
    <author>tc={A599715B-AFC1-4611-90AA-3AB75564906F}</author>
    <author>tc={C6C114A3-E0DE-4158-9FAD-0D91CAC75230}</author>
    <author>tc={318D12C9-2DF5-450A-B905-37B46E5301C1}</author>
    <author>tc={3CA6FF1D-79BA-4C37-B81C-1EC093A51C9A}</author>
    <author>tc={2E65B9DA-BE0B-4F30-AD0A-2B51366AB4B3}</author>
    <author>tc={DC49D7BF-9595-45BB-B1F6-255825F2776A}</author>
    <author>tc={DA271FC7-6EE2-4FF7-84A0-699887C7F3BE}</author>
    <author>tc={5BC24D08-D566-4AA8-980D-752A4B6A2AAA}</author>
    <author>tc={807DA047-08C5-40B4-B2B9-63D65F45AA05}</author>
    <author>tc={5E484B58-9597-40C3-8178-BD1AFBFD0335}</author>
    <author>tc={78488241-8595-4161-B028-EDC9F6C680E1}</author>
    <author>tc={72A4469B-7E36-4587-B4DC-95B447B30EA6}</author>
    <author>tc={93E616F8-78C8-4A10-81DD-D7F24DDA5D3F}</author>
    <author>tc={8CB863C3-FDD7-4F07-9C54-7AC28CC6720B}</author>
    <author>tc={5A03A68A-1A66-49B8-856E-D03CE858BC68}</author>
    <author>tc={E4F43060-4890-427D-B781-16719DE54AE8}</author>
    <author>tc={D62A10FD-618C-43D1-AF53-F367779CA08B}</author>
    <author>tc={A1F5150F-48DB-4A2B-81B8-180B1CDC407A}</author>
    <author>tc={029AE716-B296-436D-81FB-5DCE370A1393}</author>
    <author>tc={9BE2AE95-A067-4708-A409-98521F4D337F}</author>
    <author>tc={2AA3A845-A93D-4F8B-94A5-5477CD4973D1}</author>
    <author>tc={3AA896BB-07A6-4150-B26F-0179ABA548F2}</author>
    <author>tc={5D7BA8AB-9A0C-41B1-AABF-3637FE88C18E}</author>
    <author>tc={112E7F0D-F55B-474E-B9B0-587C565B6051}</author>
    <author>tc={3555CB75-9578-4800-899C-8A52732A9802}</author>
    <author>tc={CE245484-AD31-4872-9871-0FA764816F44}</author>
    <author>tc={3837451C-9A87-49DB-A884-4D28BD37513E}</author>
    <author>tc={4432397F-914F-4065-8F02-30302910C068}</author>
    <author>tc={0A076546-AFD0-463A-80A3-0B41C13792DE}</author>
    <author>tc={014EF8F3-4198-4C8E-AC6D-0B88349A2D38}</author>
    <author>tc={731CAFF8-970F-4CD2-B8E9-1C6BDB9A3F82}</author>
    <author>tc={924146ED-524B-4D8A-A9C5-06C8544F06DA}</author>
    <author>tc={7BC92919-D730-49BE-83B0-36F4B0584123}</author>
    <author>tc={E9460093-E0E4-416B-925B-F7E7CCF75355}</author>
    <author>tc={66DA6B32-075E-46E5-BC11-EEC709448F8F}</author>
    <author>tc={F884D813-77D6-437B-B77C-599E9FACC56A}</author>
    <author>tc={5F3837CE-DE37-46A4-986B-87365491BA3F}</author>
    <author>tc={06FAFE1E-E641-4B60-8752-35AFB51C9833}</author>
    <author>tc={37CF17DE-86A2-43B3-A98C-00C62E5D097E}</author>
    <author>tc={1213D623-7F55-4468-8A69-776B58398B31}</author>
    <author>tc={6D15FD18-B863-459F-ABB4-784956A344E3}</author>
    <author>tc={8B0315EB-E984-4BBB-8E7E-F28AB5A1EE50}</author>
    <author>tc={B6898A44-295B-40D5-A0B5-33EC0B4BD504}</author>
    <author>tc={03E695AA-0615-44C9-9CC8-4AA490F1F7D0}</author>
    <author>tc={5F773C1A-0A50-4D9F-A142-A5DCAA1F5EEB}</author>
    <author>tc={8BA39D09-9E93-4CFB-8EB7-A676CB208FAC}</author>
    <author>tc={3C4F5E00-058C-4558-8950-EEE8976338C8}</author>
    <author>tc={1C44ED5C-6560-4070-A1B5-26BE391C57FE}</author>
    <author>tc={53AD38D2-A43A-4E1B-9556-D9E4A3D37FF7}</author>
    <author>tc={66537D2E-22B7-412A-A1D6-DF21A913F5F0}</author>
    <author>tc={BE2CA243-998A-4FBD-9704-EC8EF30A5B11}</author>
    <author>tc={A8E62CB2-5401-4628-B9DC-E45E245794A5}</author>
    <author>tc={D4A66783-BDCA-4E52-8076-64BE2A887D01}</author>
    <author>tc={E10AEF70-B57C-45F0-A153-7BEE69F073C4}</author>
    <author>tc={B2E00C37-DC23-4E9D-A8E0-DE330E933FE1}</author>
    <author>tc={AE54757D-6564-4902-B6CC-95628505924F}</author>
    <author>tc={B78C9333-008F-41F2-A88E-3367654748F4}</author>
    <author>tc={152DFBC7-F7D1-4EF7-923E-5DF47FAA91DF}</author>
    <author>tc={E625DB85-58A5-4868-857A-E97001D4A710}</author>
    <author>tc={413DA3AA-FC10-4F1E-BDDC-C15FE91C820D}</author>
    <author>tc={F16DC8F0-E6CD-4C13-B292-F6843B6DCB83}</author>
    <author>tc={B5DC30D1-A13D-4E29-96F6-00B82A2919D4}</author>
    <author>tc={F61B8255-FF08-472E-92C9-1F030351337D}</author>
    <author>tc={7FF679BB-0C23-4A38-A425-BE909870ED73}</author>
    <author>tc={57873556-87E6-4FBF-88A7-F9A7EF5BB2C9}</author>
    <author>tc={A88C84E0-2145-45AE-88D7-457FE0E36D32}</author>
    <author>tc={EE3FEDA5-899F-420D-9210-E533A1EF25CF}</author>
    <author>tc={A186E7C5-FD90-4D22-98A0-7B5E93B34857}</author>
    <author>tc={6033BB9B-B540-44EF-A39D-9594D284CCCA}</author>
    <author>tc={FC87AC73-D92B-4273-9F35-3930BE914532}</author>
    <author>tc={156E0F3F-E4A2-4265-8D53-54647D535365}</author>
    <author>tc={F973729E-AF08-4502-8670-9CEB98BF1559}</author>
    <author>tc={A4B3A89C-41BB-4C7C-BD33-8D91459C2877}</author>
    <author>tc={E04BDA13-A609-4891-BC3F-A04D362698A9}</author>
    <author>tc={FEA675C8-FEBC-4F81-8647-D11B5F41B247}</author>
    <author>tc={C55823B2-8A01-46D4-9F45-F86E1327DA3C}</author>
    <author>tc={5E459B48-EB88-4D7B-8014-FC171CD2C629}</author>
    <author>tc={FE4780C8-0FA3-4E65-B512-A63E428E653B}</author>
    <author>tc={8DBC353D-1472-4F27-9FF7-BA591C9F7CF3}</author>
    <author>tc={C402A3AF-D222-412C-9165-1A7E52EE084B}</author>
    <author>tc={60CADF10-C8AF-4720-A9B1-B4B7BDB554AB}</author>
    <author>tc={38573C07-5392-4907-AB3E-AA3EAD840652}</author>
    <author>tc={5FC212DD-37E3-416E-AF65-43D24F3CC390}</author>
    <author>tc={6681CE9D-31CB-4C96-B8B5-C257B81121FF}</author>
  </authors>
  <commentList>
    <comment ref="H13" authorId="0" shapeId="0" xr:uid="{00000000-0006-0000-0200-000045000000}">
      <text>
        <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
      </text>
    </comment>
    <comment ref="I13" authorId="1" shapeId="0" xr:uid="{00000000-0006-0000-0200-000058000000}">
      <text>
        <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
      </text>
    </comment>
    <comment ref="J13" authorId="2" shapeId="0" xr:uid="{00000000-0006-0000-0200-00006B000000}">
      <text>
        <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
      </text>
    </comment>
    <comment ref="K13" authorId="3" shapeId="0" xr:uid="{00000000-0006-0000-0200-00007E000000}">
      <text>
        <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
      </text>
    </comment>
    <comment ref="L13" authorId="4" shapeId="0" xr:uid="{00000000-0006-0000-0200-000091000000}">
      <text>
        <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
      </text>
    </comment>
    <comment ref="M13" authorId="5" shapeId="0" xr:uid="{00000000-0006-0000-0200-0000A3000000}">
      <text>
        <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
      </text>
    </comment>
    <comment ref="N13" authorId="6" shapeId="0" xr:uid="{00000000-0006-0000-0200-0000B5000000}">
      <text>
        <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
      </text>
    </comment>
    <comment ref="O13" authorId="7" shapeId="0" xr:uid="{00000000-0006-0000-0200-0000C7000000}">
      <text>
        <t>[Threaded comment]
Your version of Excel allows you to read this threaded comment; however, any edits to it will get removed if the file is opened in a newer version of Excel. Learn more: https://go.microsoft.com/fwlink/?linkid=870924
Comment:
    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
      </text>
    </comment>
    <comment ref="H15" authorId="8" shapeId="0" xr:uid="{00000000-0006-0000-0200-000046000000}">
      <text>
        <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t>
      </text>
    </comment>
    <comment ref="I15" authorId="9" shapeId="0" xr:uid="{00000000-0006-0000-0200-000059000000}">
      <text>
        <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t>
      </text>
    </comment>
    <comment ref="J15" authorId="10" shapeId="0" xr:uid="{00000000-0006-0000-0200-00006C000000}">
      <text>
        <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t>
      </text>
    </comment>
    <comment ref="K15" authorId="11" shapeId="0" xr:uid="{00000000-0006-0000-0200-00007F000000}">
      <text>
        <t>[Threaded comment]
Your version of Excel allows you to read this threaded comment; however, any edits to it will get removed if the file is opened in a newer version of Excel. Learn more: https://go.microsoft.com/fwlink/?linkid=870924
Comment:
    FY2024 disclosed $2.1bn of maturities/realisations. Timing is not disclosed: allocate evenly across four quarters; retain the exact quarterly total other bucket using a residual other line.</t>
      </text>
    </comment>
    <comment ref="D26" authorId="12"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E26" authorId="13" shapeId="0" xr:uid="{00000000-0006-0000-0200-000013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F26" authorId="14" shapeId="0" xr:uid="{00000000-0006-0000-0200-000024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G26" authorId="15" shapeId="0" xr:uid="{00000000-0006-0000-0200-000035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H26" authorId="16" shapeId="0" xr:uid="{00000000-0006-0000-0200-000048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I26" authorId="17" shapeId="0" xr:uid="{00000000-0006-0000-0200-00005B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J26" authorId="18" shapeId="0" xr:uid="{00000000-0006-0000-0200-00006E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K26" authorId="19" shapeId="0" xr:uid="{00000000-0006-0000-0200-000081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L26" authorId="20" shapeId="0" xr:uid="{00000000-0006-0000-0200-000093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M26" authorId="21" shapeId="0" xr:uid="{00000000-0006-0000-0200-0000A5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N26" authorId="22" shapeId="0" xr:uid="{00000000-0006-0000-0200-0000B7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O26" authorId="23" shapeId="0" xr:uid="{00000000-0006-0000-0200-0000C9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P26" authorId="24" shapeId="0" xr:uid="{00000000-0006-0000-0200-0000DA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Q26" authorId="25" shapeId="0" xr:uid="{00000000-0006-0000-0200-0000EB000000}">
      <text>
        <t>[Threaded comment]
Your version of Excel allows you to read this threaded comment; however, any edits to it will get removed if the file is opened in a newer version of Excel. Learn more: https://go.microsoft.com/fwlink/?linkid=870924
Comment:
    Implied annual rate on midpoint AUM, calculated from allocated quarterly fees. Published fund-level fee margins can differ because of flow timing, product mix, rounding and small non-AUM service income. This historical ratio is not an independently reported quarterly margin.</t>
      </text>
    </comment>
    <comment ref="D27" authorId="26"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t>
      </text>
    </comment>
    <comment ref="E27" authorId="27" shapeId="0" xr:uid="{00000000-0006-0000-0200-000012000000}">
      <text>
        <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t>
      </text>
    </comment>
    <comment ref="F27" authorId="28" shapeId="0" xr:uid="{00000000-0006-0000-0200-000023000000}">
      <text>
        <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t>
      </text>
    </comment>
    <comment ref="G27" authorId="29" shapeId="0" xr:uid="{00000000-0006-0000-0200-000034000000}">
      <text>
        <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t>
      </text>
    </comment>
    <comment ref="H27" authorId="30" shapeId="0" xr:uid="{00000000-0006-0000-0200-000047000000}">
      <text>
        <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t>
      </text>
    </comment>
    <comment ref="I27" authorId="31" shapeId="0" xr:uid="{00000000-0006-0000-0200-00005A000000}">
      <text>
        <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t>
      </text>
    </comment>
    <comment ref="J27" authorId="32" shapeId="0" xr:uid="{00000000-0006-0000-0200-00006D000000}">
      <text>
        <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t>
      </text>
    </comment>
    <comment ref="K27" authorId="33" shapeId="0" xr:uid="{00000000-0006-0000-0200-000080000000}">
      <text>
        <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t>
      </text>
    </comment>
    <comment ref="L27" authorId="34" shapeId="0" xr:uid="{00000000-0006-0000-0200-000092000000}">
      <text>
        <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t>
      </text>
    </comment>
    <comment ref="M27" authorId="35" shapeId="0" xr:uid="{00000000-0006-0000-0200-0000A4000000}">
      <text>
        <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t>
      </text>
    </comment>
    <comment ref="N27" authorId="36" shapeId="0" xr:uid="{00000000-0006-0000-0200-0000B6000000}">
      <text>
        <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t>
      </text>
    </comment>
    <comment ref="O27" authorId="37" shapeId="0" xr:uid="{00000000-0006-0000-0200-0000C8000000}">
      <text>
        <t>[Threaded comment]
Your version of Excel allows you to read this threaded comment; however, any edits to it will get removed if the file is opened in a newer version of Excel. Learn more: https://go.microsoft.com/fwlink/?linkid=870924
Comment:
    Estimated quarter: allocate reported FY less H1 net management fees using this quarter’s share of the half-year midpoint AUM. The two quarters exactly reconcile to the disclosed half-year total. Intraperiod flows and product mix are not independently observed.</t>
      </text>
    </comment>
    <comment ref="P27" authorId="38" shapeId="0" xr:uid="{00000000-0006-0000-0200-0000D9000000}">
      <text>
        <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t>
      </text>
    </comment>
    <comment ref="Q27" authorId="39" shapeId="0" xr:uid="{00000000-0006-0000-0200-0000EA000000}">
      <text>
        <t>[Threaded comment]
Your version of Excel allows you to read this threaded comment; however, any edits to it will get removed if the file is opened in a newer version of Excel. Learn more: https://go.microsoft.com/fwlink/?linkid=870924
Comment:
    Estimated quarter: allocate reported H1 net management fees using this quarter’s share of the half-year midpoint AUM. The two quarters exactly reconcile to the disclosed half-year total. Intraperiod flows and product mix are not independently observed.</t>
      </text>
    </comment>
    <comment ref="R27" authorId="40" shapeId="0" xr:uid="{00000000-0006-0000-0200-0000FB000000}">
      <text>
        <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t>
      </text>
    </comment>
    <comment ref="S27" authorId="41" shapeId="0" xr:uid="{00000000-0006-0000-0200-0000FC000000}">
      <text>
        <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t>
      </text>
    </comment>
    <comment ref="T27" authorId="42" shapeId="0" xr:uid="{00000000-0006-0000-0200-0000FD000000}">
      <text>
        <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t>
      </text>
    </comment>
    <comment ref="U27" authorId="43" shapeId="0" xr:uid="{00000000-0006-0000-0200-0000FE000000}">
      <text>
        <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t>
      </text>
    </comment>
    <comment ref="V27" authorId="44" shapeId="0" xr:uid="{00000000-0006-0000-0200-0000FF000000}">
      <text>
        <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t>
      </text>
    </comment>
    <comment ref="W27" authorId="45" shapeId="0" xr:uid="{00000000-0006-0000-0200-000000010000}">
      <text>
        <t>[Threaded comment]
Your version of Excel allows you to read this threaded comment; however, any edits to it will get removed if the file is opened in a newer version of Excel. Learn more: https://go.microsoft.com/fwlink/?linkid=870924
Comment:
    Forecast revenue uses midpoint AUM × 56bp annual net fee margin × 0.25 × 1,000. The published blended margin incorporates immaterial other service income; no additional service-income stream is added. Distribution is already netted.</t>
      </text>
    </comment>
    <comment ref="D28" authorId="46" shapeId="0" xr:uid="{00000000-0006-0000-0200-000003000000}">
      <text>
        <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t>
      </text>
    </comment>
    <comment ref="E28" authorId="47" shapeId="0" xr:uid="{00000000-0006-0000-0200-000014000000}">
      <text>
        <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t>
      </text>
    </comment>
    <comment ref="F28" authorId="48" shapeId="0" xr:uid="{00000000-0006-0000-0200-000025000000}">
      <text>
        <t>[Threaded comment]
Your version of Excel allows you to read this threaded comment; however, any edits to it will get removed if the file is opened in a newer version of Excel. Learn more: https://go.microsoft.com/fwlink/?linkid=870924
Comment:
    Estimated quarter: 10% of reported FY less H1 performance fees under the editable allocation assumption. Includes earned carried interest where classified in this fee stream; no separate quarterly split is disclosed.</t>
      </text>
    </comment>
    <comment ref="G28" authorId="49" shapeId="0" xr:uid="{00000000-0006-0000-0200-000036000000}">
      <text>
        <t>[Threaded comment]
Your version of Excel allows you to read this threaded comment; however, any edits to it will get removed if the file is opened in a newer version of Excel. Learn more: https://go.microsoft.com/fwlink/?linkid=870924
Comment:
    Estimated quarter: 90% of reported FY less H1 performance fees under the editable allocation assumption. Includes earned carried interest where classified in this fee stream; no separate quarterly split is disclosed.</t>
      </text>
    </comment>
    <comment ref="H28" authorId="50" shapeId="0" xr:uid="{00000000-0006-0000-0200-000049000000}">
      <text>
        <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t>
      </text>
    </comment>
    <comment ref="I28" authorId="51" shapeId="0" xr:uid="{00000000-0006-0000-0200-00005C000000}">
      <text>
        <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t>
      </text>
    </comment>
    <comment ref="J28" authorId="52" shapeId="0" xr:uid="{00000000-0006-0000-0200-00006F000000}">
      <text>
        <t>[Threaded comment]
Your version of Excel allows you to read this threaded comment; however, any edits to it will get removed if the file is opened in a newer version of Excel. Learn more: https://go.microsoft.com/fwlink/?linkid=870924
Comment:
    Estimated quarter: 10% of reported FY less H1 performance fees under the editable allocation assumption. Includes earned carried interest where classified in this fee stream; no separate quarterly split is disclosed.</t>
      </text>
    </comment>
    <comment ref="K28" authorId="53" shapeId="0" xr:uid="{00000000-0006-0000-0200-000082000000}">
      <text>
        <t>[Threaded comment]
Your version of Excel allows you to read this threaded comment; however, any edits to it will get removed if the file is opened in a newer version of Excel. Learn more: https://go.microsoft.com/fwlink/?linkid=870924
Comment:
    Estimated quarter: 90% of reported FY less H1 performance fees under the editable allocation assumption. Includes earned carried interest where classified in this fee stream; no separate quarterly split is disclosed.</t>
      </text>
    </comment>
    <comment ref="L28" authorId="54" shapeId="0" xr:uid="{00000000-0006-0000-0200-000094000000}">
      <text>
        <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t>
      </text>
    </comment>
    <comment ref="M28" authorId="55" shapeId="0" xr:uid="{00000000-0006-0000-0200-0000A6000000}">
      <text>
        <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t>
      </text>
    </comment>
    <comment ref="N28" authorId="56" shapeId="0" xr:uid="{00000000-0006-0000-0200-0000B8000000}">
      <text>
        <t>[Threaded comment]
Your version of Excel allows you to read this threaded comment; however, any edits to it will get removed if the file is opened in a newer version of Excel. Learn more: https://go.microsoft.com/fwlink/?linkid=870924
Comment:
    Estimated quarter: 10% of reported FY less H1 performance fees under the editable allocation assumption. Includes earned carried interest where classified in this fee stream; no separate quarterly split is disclosed.</t>
      </text>
    </comment>
    <comment ref="O28" authorId="57" shapeId="0" xr:uid="{00000000-0006-0000-0200-0000CA000000}">
      <text>
        <t>[Threaded comment]
Your version of Excel allows you to read this threaded comment; however, any edits to it will get removed if the file is opened in a newer version of Excel. Learn more: https://go.microsoft.com/fwlink/?linkid=870924
Comment:
    Estimated quarter: 90% of reported FY less H1 performance fees under the editable allocation assumption. Includes earned carried interest where classified in this fee stream; no separate quarterly split is disclosed.</t>
      </text>
    </comment>
    <comment ref="P28" authorId="58" shapeId="0" xr:uid="{00000000-0006-0000-0200-0000DB000000}">
      <text>
        <t>[Threaded comment]
Your version of Excel allows you to read this threaded comment; however, any edits to it will get removed if the file is opened in a newer version of Excel. Learn more: https://go.microsoft.com/fwlink/?linkid=870924
Comment:
    Estimated quarter: 10% of reported H1 performance fees under the editable allocation assumption. Includes earned carried interest where classified in this fee stream; no separate quarterly split is disclosed.</t>
      </text>
    </comment>
    <comment ref="Q28" authorId="59" shapeId="0" xr:uid="{00000000-0006-0000-0200-0000EC000000}">
      <text>
        <t>[Threaded comment]
Your version of Excel allows you to read this threaded comment; however, any edits to it will get removed if the file is opened in a newer version of Excel. Learn more: https://go.microsoft.com/fwlink/?linkid=870924
Comment:
    Estimated quarter: 90% of reported H1 performance fees under the editable allocation assumption. Includes earned carried interest where classified in this fee stream; no separate quarterly split is disclosed.</t>
      </text>
    </comment>
    <comment ref="D29" authorId="60" shapeId="0" xr:uid="{00000000-0006-0000-0200-000004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E29" authorId="61" shapeId="0" xr:uid="{00000000-0006-0000-0200-000015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F29" authorId="62" shapeId="0" xr:uid="{00000000-0006-0000-0200-000026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G29" authorId="63" shapeId="0" xr:uid="{00000000-0006-0000-0200-000037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H29" authorId="64" shapeId="0" xr:uid="{00000000-0006-0000-0200-00004A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I29" authorId="65" shapeId="0" xr:uid="{00000000-0006-0000-0200-00005D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J29" authorId="66" shapeId="0" xr:uid="{00000000-0006-0000-0200-000070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K29" authorId="67" shapeId="0" xr:uid="{00000000-0006-0000-0200-000083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L29" authorId="68" shapeId="0" xr:uid="{00000000-0006-0000-0200-000095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M29" authorId="69" shapeId="0" xr:uid="{00000000-0006-0000-0200-0000A7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N29" authorId="70" shapeId="0" xr:uid="{00000000-0006-0000-0200-0000B9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O29" authorId="71" shapeId="0" xr:uid="{00000000-0006-0000-0200-0000CB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P29" authorId="72" shapeId="0" xr:uid="{00000000-0006-0000-0200-0000DC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Q29" authorId="73" shapeId="0" xr:uid="{00000000-0006-0000-0200-0000ED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D30" authorId="74" shapeId="0" xr:uid="{00000000-0006-0000-0200-000005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E30" authorId="75" shapeId="0" xr:uid="{00000000-0006-0000-0200-000016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F30" authorId="76" shapeId="0" xr:uid="{00000000-0006-0000-0200-000027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G30" authorId="77" shapeId="0" xr:uid="{00000000-0006-0000-0200-000038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H30" authorId="78" shapeId="0" xr:uid="{00000000-0006-0000-0200-00004B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I30" authorId="79" shapeId="0" xr:uid="{00000000-0006-0000-0200-00005E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J30" authorId="80" shapeId="0" xr:uid="{00000000-0006-0000-0200-000071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K30" authorId="81" shapeId="0" xr:uid="{00000000-0006-0000-0200-000084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L30" authorId="82" shapeId="0" xr:uid="{00000000-0006-0000-0200-000096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M30" authorId="83" shapeId="0" xr:uid="{00000000-0006-0000-0200-0000A8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N30" authorId="84" shapeId="0" xr:uid="{00000000-0006-0000-0200-0000BA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O30" authorId="85" shapeId="0" xr:uid="{00000000-0006-0000-0200-0000CC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P30" authorId="86" shapeId="0" xr:uid="{00000000-0006-0000-0200-0000DD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Q30" authorId="87" shapeId="0" xr:uid="{00000000-0006-0000-0200-0000EE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D34" authorId="88" shapeId="0" xr:uid="{00000000-0006-0000-0200-000006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E34" authorId="89" shapeId="0" xr:uid="{00000000-0006-0000-0200-000017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F34" authorId="90" shapeId="0" xr:uid="{00000000-0006-0000-0200-000028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G34" authorId="91" shapeId="0" xr:uid="{00000000-0006-0000-0200-000039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H34" authorId="92" shapeId="0" xr:uid="{00000000-0006-0000-0200-00004C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I34" authorId="93" shapeId="0" xr:uid="{00000000-0006-0000-0200-00005F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J34" authorId="94" shapeId="0" xr:uid="{00000000-0006-0000-0200-000072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K34" authorId="95" shapeId="0" xr:uid="{00000000-0006-0000-0200-000085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L34" authorId="96" shapeId="0" xr:uid="{00000000-0006-0000-0200-000097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M34" authorId="97" shapeId="0" xr:uid="{00000000-0006-0000-0200-0000A9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N34" authorId="98" shapeId="0" xr:uid="{00000000-0006-0000-0200-0000BB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O34" authorId="99" shapeId="0" xr:uid="{00000000-0006-0000-0200-0000CD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P34" authorId="100" shapeId="0" xr:uid="{00000000-0006-0000-0200-0000DE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Q34" authorId="101" shapeId="0" xr:uid="{00000000-0006-0000-0200-0000EF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D35" authorId="102" shapeId="0" xr:uid="{00000000-0006-0000-0200-00000C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E35" authorId="103" shapeId="0" xr:uid="{00000000-0006-0000-0200-00001D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F35" authorId="104" shapeId="0" xr:uid="{00000000-0006-0000-0200-00002E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G35" authorId="105" shapeId="0" xr:uid="{00000000-0006-0000-0200-00003F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H35" authorId="106" shapeId="0" xr:uid="{00000000-0006-0000-0200-000052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I35" authorId="107" shapeId="0" xr:uid="{00000000-0006-0000-0200-000065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J35" authorId="108" shapeId="0" xr:uid="{00000000-0006-0000-0200-000078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K35" authorId="109" shapeId="0" xr:uid="{00000000-0006-0000-0200-00008B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L35" authorId="110" shapeId="0" xr:uid="{00000000-0006-0000-0200-00009D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M35" authorId="111" shapeId="0" xr:uid="{00000000-0006-0000-0200-0000AF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N35" authorId="112" shapeId="0" xr:uid="{00000000-0006-0000-0200-0000C1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O35" authorId="113" shapeId="0" xr:uid="{00000000-0006-0000-0200-0000D3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P35" authorId="114" shapeId="0" xr:uid="{00000000-0006-0000-0200-0000E4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Q35" authorId="115" shapeId="0" xr:uid="{00000000-0006-0000-0200-0000F5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D36" authorId="116" shapeId="0" xr:uid="{00000000-0006-0000-0200-00000E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E36" authorId="117" shapeId="0" xr:uid="{00000000-0006-0000-0200-00001F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F36" authorId="118" shapeId="0" xr:uid="{00000000-0006-0000-0200-000030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G36" authorId="119" shapeId="0" xr:uid="{00000000-0006-0000-0200-000041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H36" authorId="120" shapeId="0" xr:uid="{00000000-0006-0000-0200-000054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I36" authorId="121" shapeId="0" xr:uid="{00000000-0006-0000-0200-000067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J36" authorId="122" shapeId="0" xr:uid="{00000000-0006-0000-0200-00007A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K36" authorId="123" shapeId="0" xr:uid="{00000000-0006-0000-0200-00008D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L36" authorId="124" shapeId="0" xr:uid="{00000000-0006-0000-0200-00009F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M36" authorId="125" shapeId="0" xr:uid="{00000000-0006-0000-0200-0000B1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N36" authorId="126" shapeId="0" xr:uid="{00000000-0006-0000-0200-0000C3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O36" authorId="127" shapeId="0" xr:uid="{00000000-0006-0000-0200-0000D5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P36" authorId="128" shapeId="0" xr:uid="{00000000-0006-0000-0200-0000E6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Q36" authorId="129" shapeId="0" xr:uid="{00000000-0006-0000-0200-0000F7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D37" authorId="130" shapeId="0" xr:uid="{00000000-0006-0000-0200-00000F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E37" authorId="131" shapeId="0" xr:uid="{00000000-0006-0000-0200-000020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F37" authorId="132" shapeId="0" xr:uid="{00000000-0006-0000-0200-000031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G37" authorId="133" shapeId="0" xr:uid="{00000000-0006-0000-0200-000042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H37" authorId="134" shapeId="0" xr:uid="{00000000-0006-0000-0200-000055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I37" authorId="135" shapeId="0" xr:uid="{00000000-0006-0000-0200-000068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J37" authorId="136" shapeId="0" xr:uid="{00000000-0006-0000-0200-00007B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K37" authorId="137" shapeId="0" xr:uid="{00000000-0006-0000-0200-00008E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L37" authorId="138" shapeId="0" xr:uid="{00000000-0006-0000-0200-0000A0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M37" authorId="139" shapeId="0" xr:uid="{00000000-0006-0000-0200-0000B2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N37" authorId="140" shapeId="0" xr:uid="{00000000-0006-0000-0200-0000C4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O37" authorId="141" shapeId="0" xr:uid="{00000000-0006-0000-0200-0000D6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P37" authorId="142" shapeId="0" xr:uid="{00000000-0006-0000-0200-0000E7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Q37" authorId="143" shapeId="0" xr:uid="{00000000-0006-0000-0200-0000F8000000}">
      <text>
        <t>[Threaded comment]
Your version of Excel allows you to read this threaded comment; however, any edits to it will get removed if the file is opened in a newer version of Excel. Learn more: https://go.microsoft.com/fwlink/?linkid=870924
Comment:
    Estimated attribution: half-year performance-fee compensation is allocated between fee revenue and seed gains in proportion to those revenue streams. Quarterly amounts follow each stream’s allocated revenue and sum to the reported half-year compensation.</t>
      </text>
    </comment>
    <comment ref="D39" authorId="144" shapeId="0" xr:uid="{00000000-0006-0000-0200-00000D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E39" authorId="145" shapeId="0" xr:uid="{00000000-0006-0000-0200-00001E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F39" authorId="146" shapeId="0" xr:uid="{00000000-0006-0000-0200-00002F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G39" authorId="147" shapeId="0" xr:uid="{00000000-0006-0000-0200-000040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H39" authorId="148" shapeId="0" xr:uid="{00000000-0006-0000-0200-000053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I39" authorId="149" shapeId="0" xr:uid="{00000000-0006-0000-0200-000066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J39" authorId="150" shapeId="0" xr:uid="{00000000-0006-0000-0200-000079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K39" authorId="151" shapeId="0" xr:uid="{00000000-0006-0000-0200-00008C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L39" authorId="152" shapeId="0" xr:uid="{00000000-0006-0000-0200-00009E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M39" authorId="153" shapeId="0" xr:uid="{00000000-0006-0000-0200-0000B0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N39" authorId="154" shapeId="0" xr:uid="{00000000-0006-0000-0200-0000C2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O39" authorId="155" shapeId="0" xr:uid="{00000000-0006-0000-0200-0000D4000000}">
      <text>
        <t>[Threaded comment]
Your version of Excel allows you to read this threaded comment; however, any edits to it will get removed if the file is opened in a newer version of Excel. Learn more: https://go.microsoft.com/fwlink/?linkid=870924
Comment:
    Estimated quarter: allocate FY less H1 period costs by midpoint AUM share. Management variable compensation is disclosed management-fee compensation less disclosed fixed compensation.</t>
      </text>
    </comment>
    <comment ref="P39" authorId="156" shapeId="0" xr:uid="{00000000-0006-0000-0200-0000E5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Q39" authorId="157" shapeId="0" xr:uid="{00000000-0006-0000-0200-0000F6000000}">
      <text>
        <t>[Threaded comment]
Your version of Excel allows you to read this threaded comment; however, any edits to it will get removed if the file is opened in a newer version of Excel. Learn more: https://go.microsoft.com/fwlink/?linkid=870924
Comment:
    Estimated quarter: allocate H1 period costs by midpoint AUM share. Management variable compensation is disclosed management-fee compensation less disclosed fixed compensation.</t>
      </text>
    </comment>
    <comment ref="D40" authorId="158" shapeId="0" xr:uid="{00000000-0006-0000-0200-000007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E40" authorId="159" shapeId="0" xr:uid="{00000000-0006-0000-0200-000018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F40" authorId="160" shapeId="0" xr:uid="{00000000-0006-0000-0200-000029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G40" authorId="161" shapeId="0" xr:uid="{00000000-0006-0000-0200-00003A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H40" authorId="162" shapeId="0" xr:uid="{00000000-0006-0000-0200-00004D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I40" authorId="163" shapeId="0" xr:uid="{00000000-0006-0000-0200-000060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J40" authorId="164" shapeId="0" xr:uid="{00000000-0006-0000-0200-000073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K40" authorId="165" shapeId="0" xr:uid="{00000000-0006-0000-0200-000086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L40" authorId="166" shapeId="0" xr:uid="{00000000-0006-0000-0200-000098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M40" authorId="167" shapeId="0" xr:uid="{00000000-0006-0000-0200-0000AA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N40" authorId="168" shapeId="0" xr:uid="{00000000-0006-0000-0200-0000BC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O40" authorId="169" shapeId="0" xr:uid="{00000000-0006-0000-0200-0000CE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P40" authorId="170" shapeId="0" xr:uid="{00000000-0006-0000-0200-0000DF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Q40" authorId="171" shapeId="0" xr:uid="{00000000-0006-0000-0200-0000F0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D41" authorId="172" shapeId="0" xr:uid="{00000000-0006-0000-0200-000008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E41" authorId="173" shapeId="0" xr:uid="{00000000-0006-0000-0200-000019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F41" authorId="174" shapeId="0" xr:uid="{00000000-0006-0000-0200-00002A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G41" authorId="175" shapeId="0" xr:uid="{00000000-0006-0000-0200-00003B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H41" authorId="176" shapeId="0" xr:uid="{00000000-0006-0000-0200-00004E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I41" authorId="177" shapeId="0" xr:uid="{00000000-0006-0000-0200-000061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J41" authorId="178" shapeId="0" xr:uid="{00000000-0006-0000-0200-000074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K41" authorId="179" shapeId="0" xr:uid="{00000000-0006-0000-0200-000087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L41" authorId="180" shapeId="0" xr:uid="{00000000-0006-0000-0200-000099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M41" authorId="181" shapeId="0" xr:uid="{00000000-0006-0000-0200-0000AB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N41" authorId="182" shapeId="0" xr:uid="{00000000-0006-0000-0200-0000BD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O41" authorId="183" shapeId="0" xr:uid="{00000000-0006-0000-0200-0000CF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P41" authorId="184" shapeId="0" xr:uid="{00000000-0006-0000-0200-0000E0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Q41" authorId="185" shapeId="0" xr:uid="{00000000-0006-0000-0200-0000F1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D47" authorId="186" shapeId="0" xr:uid="{00000000-0006-0000-0200-000009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E47" authorId="187" shapeId="0" xr:uid="{00000000-0006-0000-0200-00001A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F47" authorId="188" shapeId="0" xr:uid="{00000000-0006-0000-0200-00002B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G47" authorId="189" shapeId="0" xr:uid="{00000000-0006-0000-0200-00003C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H47" authorId="190" shapeId="0" xr:uid="{00000000-0006-0000-0200-00004F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I47" authorId="191" shapeId="0" xr:uid="{00000000-0006-0000-0200-000062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J47" authorId="192" shapeId="0" xr:uid="{00000000-0006-0000-0200-000075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K47" authorId="193" shapeId="0" xr:uid="{00000000-0006-0000-0200-000088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L47" authorId="194" shapeId="0" xr:uid="{00000000-0006-0000-0200-00009A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M47" authorId="195" shapeId="0" xr:uid="{00000000-0006-0000-0200-0000AC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N47" authorId="196" shapeId="0" xr:uid="{00000000-0006-0000-0200-0000BE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O47" authorId="197" shapeId="0" xr:uid="{00000000-0006-0000-0200-0000D0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P47" authorId="198" shapeId="0" xr:uid="{00000000-0006-0000-0200-0000E1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Q47" authorId="199" shapeId="0" xr:uid="{00000000-0006-0000-0200-0000F2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D48" authorId="200" shapeId="0" xr:uid="{00000000-0006-0000-0200-00000A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E48" authorId="201" shapeId="0" xr:uid="{00000000-0006-0000-0200-00001B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F48" authorId="202" shapeId="0" xr:uid="{00000000-0006-0000-0200-00002C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G48" authorId="203" shapeId="0" xr:uid="{00000000-0006-0000-0200-00003D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H48" authorId="204" shapeId="0" xr:uid="{00000000-0006-0000-0200-000050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I48" authorId="205" shapeId="0" xr:uid="{00000000-0006-0000-0200-000063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J48" authorId="206" shapeId="0" xr:uid="{00000000-0006-0000-0200-000076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K48" authorId="207" shapeId="0" xr:uid="{00000000-0006-0000-0200-000089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L48" authorId="208" shapeId="0" xr:uid="{00000000-0006-0000-0200-00009B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M48" authorId="209" shapeId="0" xr:uid="{00000000-0006-0000-0200-0000AD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N48" authorId="210" shapeId="0" xr:uid="{00000000-0006-0000-0200-0000BF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O48" authorId="211" shapeId="0" xr:uid="{00000000-0006-0000-0200-0000D1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P48" authorId="212" shapeId="0" xr:uid="{00000000-0006-0000-0200-0000E2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Q48" authorId="213" shapeId="0" xr:uid="{00000000-0006-0000-0200-0000F3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D49" authorId="214" shapeId="0" xr:uid="{00000000-0006-0000-0200-00000B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E49" authorId="215" shapeId="0" xr:uid="{00000000-0006-0000-0200-00001C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F49" authorId="216" shapeId="0" xr:uid="{00000000-0006-0000-0200-00002D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G49" authorId="217" shapeId="0" xr:uid="{00000000-0006-0000-0200-00003E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H49" authorId="218" shapeId="0" xr:uid="{00000000-0006-0000-0200-000051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I49" authorId="219" shapeId="0" xr:uid="{00000000-0006-0000-0200-000064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J49" authorId="220" shapeId="0" xr:uid="{00000000-0006-0000-0200-000077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K49" authorId="221" shapeId="0" xr:uid="{00000000-0006-0000-0200-00008A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L49" authorId="222" shapeId="0" xr:uid="{00000000-0006-0000-0200-00009C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M49" authorId="223" shapeId="0" xr:uid="{00000000-0006-0000-0200-0000AE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N49" authorId="224" shapeId="0" xr:uid="{00000000-0006-0000-0200-0000C0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O49" authorId="225" shapeId="0" xr:uid="{00000000-0006-0000-0200-0000D2000000}">
      <text>
        <t>[Threaded comment]
Your version of Excel allows you to read this threaded comment; however, any edits to it will get removed if the file is opened in a newer version of Excel. Learn more: https://go.microsoft.com/fwlink/?linkid=870924
Comment:
    Estimated quarter: one-half of the FY less H1 reported period flow. FY less H1 is used only for additive flows; costs shown as deductions.</t>
      </text>
    </comment>
    <comment ref="P49" authorId="226" shapeId="0" xr:uid="{00000000-0006-0000-0200-0000E3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Q49" authorId="227" shapeId="0" xr:uid="{00000000-0006-0000-0200-0000F4000000}">
      <text>
        <t>[Threaded comment]
Your version of Excel allows you to read this threaded comment; however, any edits to it will get removed if the file is opened in a newer version of Excel. Learn more: https://go.microsoft.com/fwlink/?linkid=870924
Comment:
    Estimated quarter: one-half of the H1 reported period flow. FY less H1 is used only for additive flows; costs shown as deductions.</t>
      </text>
    </comment>
    <comment ref="D54" authorId="228" shapeId="0" xr:uid="{00000000-0006-0000-0200-000010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E54" authorId="229" shapeId="0" xr:uid="{00000000-0006-0000-0200-000021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F54" authorId="230" shapeId="0" xr:uid="{00000000-0006-0000-0200-000032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G54" authorId="231" shapeId="0" xr:uid="{00000000-0006-0000-0200-000043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H54" authorId="232" shapeId="0" xr:uid="{00000000-0006-0000-0200-000056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I54" authorId="233" shapeId="0" xr:uid="{00000000-0006-0000-0200-000069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J54" authorId="234" shapeId="0" xr:uid="{00000000-0006-0000-0200-00007C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K54" authorId="235" shapeId="0" xr:uid="{00000000-0006-0000-0200-00008F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L54" authorId="236" shapeId="0" xr:uid="{00000000-0006-0000-0200-0000A1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M54" authorId="237" shapeId="0" xr:uid="{00000000-0006-0000-0200-0000B3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N54" authorId="238" shapeId="0" xr:uid="{00000000-0006-0000-0200-0000C5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O54" authorId="239" shapeId="0" xr:uid="{00000000-0006-0000-0200-0000D7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P54" authorId="240" shapeId="0" xr:uid="{00000000-0006-0000-0200-0000E8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Q54" authorId="241" shapeId="0" xr:uid="{00000000-0006-0000-0200-0000F9000000}">
      <text>
        <t>[Threaded comment]
Your version of Excel allows you to read this threaded comment; however, any edits to it will get removed if the file is opened in a newer version of Excel. Learn more: https://go.microsoft.com/fwlink/?linkid=870924
Comment:
    Estimated quarterly tax at the reported half-year core tax / PBT ratio. Quarter taxes sum to the reported half-year tax; a loss quarter receives a tax benefit at this rate.</t>
      </text>
    </comment>
    <comment ref="D56" authorId="242" shapeId="0" xr:uid="{00000000-0006-0000-0200-000011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E56" authorId="243" shapeId="0" xr:uid="{00000000-0006-0000-0200-000022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F56" authorId="244" shapeId="0" xr:uid="{00000000-0006-0000-0200-000033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G56" authorId="245" shapeId="0" xr:uid="{00000000-0006-0000-0200-000044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H56" authorId="246" shapeId="0" xr:uid="{00000000-0006-0000-0200-000057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I56" authorId="247" shapeId="0" xr:uid="{00000000-0006-0000-0200-00006A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J56" authorId="248" shapeId="0" xr:uid="{00000000-0006-0000-0200-00007D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K56" authorId="249" shapeId="0" xr:uid="{00000000-0006-0000-0200-000090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L56" authorId="250" shapeId="0" xr:uid="{00000000-0006-0000-0200-0000A2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M56" authorId="251" shapeId="0" xr:uid="{00000000-0006-0000-0200-0000B4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N56" authorId="252" shapeId="0" xr:uid="{00000000-0006-0000-0200-0000C6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O56" authorId="253" shapeId="0" xr:uid="{00000000-0006-0000-0200-0000D8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P56" authorId="254" shapeId="0" xr:uid="{00000000-0006-0000-0200-0000E9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 ref="Q56" authorId="255" shapeId="0" xr:uid="{00000000-0006-0000-0200-0000FA000000}">
      <text>
        <t>[Threaded comment]
Your version of Excel allows you to read this threaded comment; however, any edits to it will get removed if the file is opened in a newer version of Excel. Learn more: https://go.microsoft.com/fwlink/?linkid=870924
Comment:
    Quarterly shares are estimated flat within each half-year. H1 uses the disclosed diluted weighted average; H2 is inferred from the day-weighted FY average and H1 average. EPS is recalculated from profit and shares, never inferred by subtracting EPS.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tc={5B28245C-6916-43F8-9366-B300F28ECD63}</author>
    <author>tc={59997010-A740-460A-A09C-FB9740706C2C}</author>
    <author>tc={83E9B1B0-D07B-430E-B6A5-5B11FA51F851}</author>
    <author>tc={4D73E011-4F2F-4537-86C5-9F9A5E128611}</author>
    <author>tc={3221CA3B-36E4-48E7-87C2-057DABF5CFA5}</author>
  </authors>
  <commentList>
    <comment ref="F14"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Varagon added $10.8bn fee-paying AUM in Q3 2023. Asteria was also acquired in 2023, but no separate material AUM amount is used. Source: FY2023 financial review and Q3 AUM bridge.</t>
      </text>
    </comment>
    <comment ref="O14" authorId="1" shapeId="0" xr:uid="{00000000-0006-0000-0300-000002000000}">
      <text>
        <t>[Threaded comment]
Your version of Excel allows you to read this threaded comment; however, any edits to it will get removed if the file is opened in a newer version of Excel. Learn more: https://go.microsoft.com/fwlink/?linkid=870924
Comment:
    Bardin Hill completed 1 October 2025 and added $2.7bn. Remove this from the disclosed combined other bucket to avoid double counting. Source: FY2025 financial review.</t>
      </text>
    </comment>
    <comment ref="J23" authorId="2" shapeId="0" xr:uid="{00000000-0006-0000-0300-000004000000}">
      <text>
        <t>[Threaded comment]
Your version of Excel allows you to read this threaded comment; however, any edits to it will get removed if the file is opened in a newer version of Excel. Learn more: https://go.microsoft.com/fwlink/?linkid=870924
Comment:
    Core performance fees exclude $19m of pass-through gross-up in H1 2026. Related compensation of $18m is also removed from core costs. The $1m net reclassification is excluded consistently with company core PBT. Carried interest is included in performance fees where earned; no separately disclosed earned carried-interest series is available.</t>
      </text>
    </comment>
    <comment ref="I27" authorId="3" shapeId="0" xr:uid="{00000000-0006-0000-0300-000003000000}">
      <text>
        <t>[Threaded comment]
Your version of Excel allows you to read this threaded comment; however, any edits to it will get removed if the file is opened in a newer version of Excel. Learn more: https://go.microsoft.com/fwlink/?linkid=870924
Comment:
    FY2025 fixed compensation $274m is disclosed in note 6.1. Statutory variable compensation $433m includes $32m of non-core charges; core total compensation is $675m, so core variable compensation is $401m. The model separately uses the disclosed management/performance split of $481m/$194m.</t>
      </text>
    </comment>
    <comment ref="D45" authorId="4" shapeId="0" xr:uid="{00000000-0006-0000-0300-000005000000}">
      <text>
        <t>[Threaded comment]
Your version of Excel allows you to read this threaded comment; however, any edits to it will get removed if the file is opened in a newer version of Excel. Learn more: https://go.microsoft.com/fwlink/?linkid=870924
Comment:
    n/d means no aggregate realised average fee margin was located in the H1 release. Run-rate margins are different metrics and are not substituted.</t>
      </text>
    </comment>
  </commentList>
</comments>
</file>

<file path=xl/sharedStrings.xml><?xml version="1.0" encoding="utf-8"?>
<sst xmlns="http://schemas.openxmlformats.org/spreadsheetml/2006/main" count="653" uniqueCount="388">
  <si>
    <t>Man Group | AUM to earnings</t>
  </si>
  <si>
    <t>Case selected</t>
  </si>
  <si>
    <t>2023–2025 history | H1 2026 actual | Q3 2026–2027 forecast | 14 Sep 2026</t>
  </si>
  <si>
    <t>H1:23</t>
  </si>
  <si>
    <t>FY:23</t>
  </si>
  <si>
    <t>H1:24</t>
  </si>
  <si>
    <t>FY:24</t>
  </si>
  <si>
    <t>H1:25</t>
  </si>
  <si>
    <t>FY:25</t>
  </si>
  <si>
    <t>H1:26</t>
  </si>
  <si>
    <t>FY:26</t>
  </si>
  <si>
    <t>H1:27</t>
  </si>
  <si>
    <t>FY:27</t>
  </si>
  <si>
    <t>Actual</t>
  </si>
  <si>
    <t>A + F</t>
  </si>
  <si>
    <t>Forecast</t>
  </si>
  <si>
    <t>Closing AUM, USD bn</t>
  </si>
  <si>
    <t>Net flows, USD bn</t>
  </si>
  <si>
    <t>Implied net fee margin, annual bp</t>
  </si>
  <si>
    <t>Net management fees, USD m</t>
  </si>
  <si>
    <t>Performance fees, USD m</t>
  </si>
  <si>
    <t>Seed gains, USD m</t>
  </si>
  <si>
    <t>Rental / other income, USD m</t>
  </si>
  <si>
    <t>Core net revenue, USD m</t>
  </si>
  <si>
    <t>Core operating costs, USD m</t>
  </si>
  <si>
    <t>Core operating profit, USD m</t>
  </si>
  <si>
    <t>Management-fee PBT, USD m</t>
  </si>
  <si>
    <t>Performance / seed PBT, USD m</t>
  </si>
  <si>
    <t>Core total PBT, USD m</t>
  </si>
  <si>
    <t>Core tax expense, USD m</t>
  </si>
  <si>
    <t>Core profit after tax, USD m</t>
  </si>
  <si>
    <t>Diluted weighted shares, m</t>
  </si>
  <si>
    <t>Core diluted EPS, US cents</t>
  </si>
  <si>
    <t>THESIS QUESTIONS | USE THE CASE SELECTOR</t>
  </si>
  <si>
    <t>Fee margin</t>
  </si>
  <si>
    <t>Base holds the 2025 average of 56bp; Downside uses 52bp, matching H1 2026.</t>
  </si>
  <si>
    <t>Flows</t>
  </si>
  <si>
    <t>Base +1% of opening AUM per quarter; Downside 0%; Upside +2%.</t>
  </si>
  <si>
    <t>Performance fees</t>
  </si>
  <si>
    <t>Base repeats allocated 2025 quarters; Zero PF removes forecast fees and their variable costs.</t>
  </si>
  <si>
    <t>Zero PF interpretation</t>
  </si>
  <si>
    <t>H1 2026 remains actual. FY2027 is the full-year zero-fee test; seed gains and funding stay.</t>
  </si>
  <si>
    <t>Quarterly evidence</t>
  </si>
  <si>
    <t>AUM is reported; quarterly financial flows are estimates tied to disclosed H1 and FY totals.</t>
  </si>
  <si>
    <t>2025 MIX | THE SAME AUM DOES NOT EARN THE SAME FEES</t>
  </si>
  <si>
    <t>Product category</t>
  </si>
  <si>
    <t>AUM share</t>
  </si>
  <si>
    <t>Fee share</t>
  </si>
  <si>
    <t>Fee margin, bp</t>
  </si>
  <si>
    <t>Absolute return</t>
  </si>
  <si>
    <t>Total return</t>
  </si>
  <si>
    <t>Multi-manager</t>
  </si>
  <si>
    <t>Systematic long-only</t>
  </si>
  <si>
    <t>Discretionary long-only</t>
  </si>
  <si>
    <t>Performance fees reflect hurdles, high-water marks and crystallisation; AUM returns do not mechanically imply fees.</t>
  </si>
  <si>
    <t>Year</t>
  </si>
  <si>
    <t>Mgmt PBT</t>
  </si>
  <si>
    <t>PF / seed PBT</t>
  </si>
  <si>
    <t>Total PBT</t>
  </si>
  <si>
    <t>Man Group | scenario controls</t>
  </si>
  <si>
    <t>Case number (1–4)</t>
  </si>
  <si>
    <t>1 Base | 2 Downside | 3 Upside | 4 Zero PF. Cases affect Q3 2026 onward only.</t>
  </si>
  <si>
    <t>Q1:23</t>
  </si>
  <si>
    <t>Q2:23</t>
  </si>
  <si>
    <t>Q3:23</t>
  </si>
  <si>
    <t>Q4:23</t>
  </si>
  <si>
    <t>Q1:24</t>
  </si>
  <si>
    <t>Q2:24</t>
  </si>
  <si>
    <t>Q3:24</t>
  </si>
  <si>
    <t>Q4:24</t>
  </si>
  <si>
    <t>Q1:25</t>
  </si>
  <si>
    <t>Q2:25</t>
  </si>
  <si>
    <t>Q3:25</t>
  </si>
  <si>
    <t>Q4:25</t>
  </si>
  <si>
    <t>Q1:26</t>
  </si>
  <si>
    <t>Q2:26</t>
  </si>
  <si>
    <t>Q3:26</t>
  </si>
  <si>
    <t>Q4:26</t>
  </si>
  <si>
    <t>Q1:27</t>
  </si>
  <si>
    <t>Q2:27</t>
  </si>
  <si>
    <t>Q3:27</t>
  </si>
  <si>
    <t>Q4:27</t>
  </si>
  <si>
    <t>Net flows / opening AUM</t>
  </si>
  <si>
    <t>Active selection</t>
  </si>
  <si>
    <t>Base</t>
  </si>
  <si>
    <t>Downside</t>
  </si>
  <si>
    <t>Upside</t>
  </si>
  <si>
    <t>Zero PF</t>
  </si>
  <si>
    <t>Investment return / opening AUM</t>
  </si>
  <si>
    <t>Net management-fee margin</t>
  </si>
  <si>
    <t>Performance-fee revenue, USD m</t>
  </si>
  <si>
    <t>QUARTERLY ALLOCATION AND BASE-YEAR CALIBRATION</t>
  </si>
  <si>
    <t>Q1 share of H1 performance fees</t>
  </si>
  <si>
    <t>Q3 share of H2 performance fees</t>
  </si>
  <si>
    <t>Equal-quarter allocation factor</t>
  </si>
  <si>
    <t>Base performance-fee multiplier</t>
  </si>
  <si>
    <t>Downside performance-fee multiplier</t>
  </si>
  <si>
    <t>Upside performance-fee multiplier</t>
  </si>
  <si>
    <t>Quarter fraction of year</t>
  </si>
  <si>
    <t>USD millions per USD billion</t>
  </si>
  <si>
    <t>FY2025 published average fee margin</t>
  </si>
  <si>
    <t>FY2025 management variable compensation ratio</t>
  </si>
  <si>
    <t>FY2025 PF / seed variable compensation ratio</t>
  </si>
  <si>
    <t>FY2025 servicing / average AUM, annual bp</t>
  </si>
  <si>
    <t>Fixed compensation, quarterly USD m</t>
  </si>
  <si>
    <t>Other fixed costs incl D&amp;A, quarterly USD m</t>
  </si>
  <si>
    <t>Core tax rate: FY2025 actual expense / PBT</t>
  </si>
  <si>
    <t>Diluted shares, FY2025 weighted average m</t>
  </si>
  <si>
    <t>Seed gains, quarterly USD m</t>
  </si>
  <si>
    <t>Rental / other income, quarterly USD m</t>
  </si>
  <si>
    <t>Basis points per unit rate</t>
  </si>
  <si>
    <t>US cents per US dollar</t>
  </si>
  <si>
    <t>Other employment, quarterly USD m</t>
  </si>
  <si>
    <t>Management finance expense, quarterly USD m</t>
  </si>
  <si>
    <t>PF / seed finance expense, quarterly USD m</t>
  </si>
  <si>
    <t>Management third-party share, quarterly USD m</t>
  </si>
  <si>
    <t>PF third-party profit share / fee revenue</t>
  </si>
  <si>
    <t>Forecast FX / acquisitions / other, USD bn</t>
  </si>
  <si>
    <t>Man Group | quarterly fee engine</t>
  </si>
  <si>
    <t>USD bn AUM | USD m income and costs | EPS US cents | core basis</t>
  </si>
  <si>
    <t>AUM A / P&amp;L E</t>
  </si>
  <si>
    <t>AUM | STOCK TO PERIOD REVENUE</t>
  </si>
  <si>
    <t>Opening fee-paying AUM</t>
  </si>
  <si>
    <t>Net flows</t>
  </si>
  <si>
    <t>Investment performance</t>
  </si>
  <si>
    <t>FX: allocated when annual split disclosed</t>
  </si>
  <si>
    <t>n/d</t>
  </si>
  <si>
    <t>Acquisitions</t>
  </si>
  <si>
    <t>Realisations: allocated when disclosed</t>
  </si>
  <si>
    <t>Other, including unseparated FX / exits</t>
  </si>
  <si>
    <t>Closing fee-paying AUM</t>
  </si>
  <si>
    <t>Average AUM: opening / closing midpoint</t>
  </si>
  <si>
    <t>Investment performance / opening AUM</t>
  </si>
  <si>
    <t>REVENUE | RECURRING FEES AND VARIABLE FEES</t>
  </si>
  <si>
    <t>Gross management fees: historical memo</t>
  </si>
  <si>
    <t>n/a</t>
  </si>
  <si>
    <t>Distribution costs: historical memo</t>
  </si>
  <si>
    <t>Net management-fee margin, annual bp</t>
  </si>
  <si>
    <t>Net management fees</t>
  </si>
  <si>
    <t>Performance fees / carried interest</t>
  </si>
  <si>
    <t>Seed investment gains</t>
  </si>
  <si>
    <t>Rental / other income</t>
  </si>
  <si>
    <t>Core net revenue</t>
  </si>
  <si>
    <t>COSTS | FIXED CAPACITY AND VARIABLE PARTICIPATION</t>
  </si>
  <si>
    <t>Fixed compensation</t>
  </si>
  <si>
    <t>Variable management compensation</t>
  </si>
  <si>
    <t>Variable performance-fee compensation</t>
  </si>
  <si>
    <t>Variable seed-gain compensation</t>
  </si>
  <si>
    <t>Total core compensation</t>
  </si>
  <si>
    <t>Asset servicing costs</t>
  </si>
  <si>
    <t>Other fixed costs, including D&amp;A</t>
  </si>
  <si>
    <t>Other employment-related expenses</t>
  </si>
  <si>
    <t>Total core operating costs</t>
  </si>
  <si>
    <t>Core operating profit before seed gains</t>
  </si>
  <si>
    <t>Core operating profit including seed gains</t>
  </si>
  <si>
    <t>PROFIT | FUNDING, TAX AND DILUTED SHARES</t>
  </si>
  <si>
    <t>Management-fee finance expense</t>
  </si>
  <si>
    <t>Performance / seed finance expense</t>
  </si>
  <si>
    <t>Third-party profit share: management</t>
  </si>
  <si>
    <t>Third-party profit share: performance</t>
  </si>
  <si>
    <t>Core management-fee profit before tax</t>
  </si>
  <si>
    <t>Core performance / seed profit before tax</t>
  </si>
  <si>
    <t>Core total profit before tax</t>
  </si>
  <si>
    <t>Core tax expense</t>
  </si>
  <si>
    <t>Core profit after tax</t>
  </si>
  <si>
    <t>Diluted weighted average shares, m</t>
  </si>
  <si>
    <t>Core operating margin</t>
  </si>
  <si>
    <t>Performance fees / net revenue</t>
  </si>
  <si>
    <t>Core effective tax rate</t>
  </si>
  <si>
    <t>HISTORICAL ALLOCATION | H1 AND FY LESS H1</t>
  </si>
  <si>
    <t>Quarter share of half-year midpoint AUM</t>
  </si>
  <si>
    <t>Quarter share of half-year PF revenue</t>
  </si>
  <si>
    <t>Half-year net management fees</t>
  </si>
  <si>
    <t>Half-year performance fees</t>
  </si>
  <si>
    <t>Half-year seed gains</t>
  </si>
  <si>
    <t>Half-year fixed compensation</t>
  </si>
  <si>
    <t>Half-year management compensation</t>
  </si>
  <si>
    <t>Half-year performance compensation</t>
  </si>
  <si>
    <t>Half-year other costs</t>
  </si>
  <si>
    <t>Half-year servicing</t>
  </si>
  <si>
    <t>Half-year rental / other income</t>
  </si>
  <si>
    <t>Half-year other employment</t>
  </si>
  <si>
    <t>Half-year management finance expense</t>
  </si>
  <si>
    <t>Half-year performance finance expense</t>
  </si>
  <si>
    <t>Half-year management third-party share</t>
  </si>
  <si>
    <t>Half-year performance third-party share</t>
  </si>
  <si>
    <t>Half-year core tax expense</t>
  </si>
  <si>
    <t>Half-year core PBT</t>
  </si>
  <si>
    <t>Half-year diluted weighted shares</t>
  </si>
  <si>
    <t>Half-year distribution costs</t>
  </si>
  <si>
    <t>H1 / FY ROLLUPS | QUARTERS REMAIN THE PRIMARY MODEL</t>
  </si>
  <si>
    <t>Man Group | reported evidence</t>
  </si>
  <si>
    <t>USD bn AUM; USD m financials; EPS in US cents. Costs shown as positive inputs.</t>
  </si>
  <si>
    <t>QUARTERLY AUM | REPORTED STOCKS AND FLOWS</t>
  </si>
  <si>
    <t>Opening AUM</t>
  </si>
  <si>
    <t>Reported FX and other bucket</t>
  </si>
  <si>
    <t>Closing AUM</t>
  </si>
  <si>
    <t>Acquisitions identified within other</t>
  </si>
  <si>
    <t>Source ID</t>
  </si>
  <si>
    <t>S01</t>
  </si>
  <si>
    <t>S02</t>
  </si>
  <si>
    <t>S03</t>
  </si>
  <si>
    <t>S04</t>
  </si>
  <si>
    <t>S05</t>
  </si>
  <si>
    <t>S06</t>
  </si>
  <si>
    <t>S07</t>
  </si>
  <si>
    <t>S08</t>
  </si>
  <si>
    <t>S09</t>
  </si>
  <si>
    <t>S10</t>
  </si>
  <si>
    <t>S11</t>
  </si>
  <si>
    <t>S12</t>
  </si>
  <si>
    <t>S13</t>
  </si>
  <si>
    <t>S14</t>
  </si>
  <si>
    <t>H1 / FY CORE FINANCIALS | COMPANY DISCLOSURES</t>
  </si>
  <si>
    <t>Gross management and other fees</t>
  </si>
  <si>
    <t>Distribution costs</t>
  </si>
  <si>
    <t>Core net management fees</t>
  </si>
  <si>
    <t>Core performance fees</t>
  </si>
  <si>
    <t>Core investment gains</t>
  </si>
  <si>
    <t>Core rental / other income</t>
  </si>
  <si>
    <t>Management-fee compensation</t>
  </si>
  <si>
    <t>Performance-fee compensation</t>
  </si>
  <si>
    <t>Core other costs, including D&amp;A</t>
  </si>
  <si>
    <t>Core other employment expenses</t>
  </si>
  <si>
    <t>Management-fee net finance expense</t>
  </si>
  <si>
    <t>Performance-fee net finance expense</t>
  </si>
  <si>
    <t>Core management-fee PBT</t>
  </si>
  <si>
    <t>Core performance-fee PBT</t>
  </si>
  <si>
    <t>Core total PBT</t>
  </si>
  <si>
    <t>Reported core diluted EPS, US cents</t>
  </si>
  <si>
    <t>Statutory profit after tax</t>
  </si>
  <si>
    <t>Reported statutory diluted EPS, US cents</t>
  </si>
  <si>
    <t>Published average fee margin, bp</t>
  </si>
  <si>
    <t>Source IDs</t>
  </si>
  <si>
    <t>ANNUAL AUM DETAIL | SEPARATELY DISCLOSED</t>
  </si>
  <si>
    <t>FX impact, USD bn</t>
  </si>
  <si>
    <t>Realisations / maturities, USD bn</t>
  </si>
  <si>
    <t>Total net flows, USD bn</t>
  </si>
  <si>
    <t>Total investment performance, USD bn</t>
  </si>
  <si>
    <t>Total reported FX and other, USD bn</t>
  </si>
  <si>
    <t>2025 MIX | AUM STOCK VS MANAGEMENT-FEE FLOW</t>
  </si>
  <si>
    <t>Closing AUM, bn</t>
  </si>
  <si>
    <t>Net fees, m</t>
  </si>
  <si>
    <t>Margin, bp</t>
  </si>
  <si>
    <t>S12 | FY2025 revenue table, page 11</t>
  </si>
  <si>
    <t>Other service income</t>
  </si>
  <si>
    <t>SOURCE REGISTER | ISSUER DISCLOSURES ACCESSED 14 SEP 2026</t>
  </si>
  <si>
    <t>S01 | Q1:23</t>
  </si>
  <si>
    <t>2023-04-26</t>
  </si>
  <si>
    <t>EMG:LN_20230426_Q1_8K</t>
  </si>
  <si>
    <t>Evidence location</t>
  </si>
  <si>
    <t>AUM bridge, p1</t>
  </si>
  <si>
    <t>Issuer source</t>
  </si>
  <si>
    <t>https://www.man.com/shareholder-relations</t>
  </si>
  <si>
    <t>S02 | H1:23</t>
  </si>
  <si>
    <t>2023-08-01</t>
  </si>
  <si>
    <t>EMG:LN_20230801_H1_8K</t>
  </si>
  <si>
    <t>AUM p5; core reconciliation pp29–32; EPS note 7</t>
  </si>
  <si>
    <t>https://www.man.com/news-centre/half-year-results-for-the-six-months-ended-30-june-2023</t>
  </si>
  <si>
    <t>S03 | Q3:23</t>
  </si>
  <si>
    <t>2023-10-19</t>
  </si>
  <si>
    <t>EMG:LN_20231019_Q3_8K</t>
  </si>
  <si>
    <t>S04 | FY:23</t>
  </si>
  <si>
    <t>2024-02-29</t>
  </si>
  <si>
    <t>EMG:LN_20240229_H2_8K</t>
  </si>
  <si>
    <t>AUM p5; review pp13–16; core pp58–63; EPS note 9</t>
  </si>
  <si>
    <t>https://www.man.com/news-centre/results-for-the-financial-year-ended-31-december-2023</t>
  </si>
  <si>
    <t>S05 | Q1:24</t>
  </si>
  <si>
    <t>2024-04-19</t>
  </si>
  <si>
    <t>EMG:LN_20240419_Q1_8K</t>
  </si>
  <si>
    <t>S06 | H1:24</t>
  </si>
  <si>
    <t>2024-07-26</t>
  </si>
  <si>
    <t>EMG:LN_20240726_H1_8K</t>
  </si>
  <si>
    <t>AUM p5; core pp31–34; EPS note 7</t>
  </si>
  <si>
    <t>https://www.man.com/news-centre/half-year-results-for-the-six-months-ended-30-june-2024</t>
  </si>
  <si>
    <t>S07 | Q3:24</t>
  </si>
  <si>
    <t>2024-10-17</t>
  </si>
  <si>
    <t>EMG:LN_20241017_Q3_8K</t>
  </si>
  <si>
    <t>S08 | FY:24</t>
  </si>
  <si>
    <t>2025-02-27</t>
  </si>
  <si>
    <t>EMG:LN_20250227_H2_8K</t>
  </si>
  <si>
    <t>AUM p4; core pp62–67; compensation note 6.1; EPS note 13</t>
  </si>
  <si>
    <t>https://www.man.com/news-centre/results-for-the-financial-year-ended-31-december-2024</t>
  </si>
  <si>
    <t>S09 | Q1:25</t>
  </si>
  <si>
    <t>2025-04-17</t>
  </si>
  <si>
    <t>EMG:LN_20250417_Q1_8K</t>
  </si>
  <si>
    <t>S10 | H1:25</t>
  </si>
  <si>
    <t>2025-07-30</t>
  </si>
  <si>
    <t>EMG:LN_20250730_H1_8K</t>
  </si>
  <si>
    <t>AUM p4; core pp33–37; EPS note 7</t>
  </si>
  <si>
    <t>https://www.man.com/news-centre/half-year-results-for-the-six-months-ended-30-june-2025</t>
  </si>
  <si>
    <t>S11 | Q3:25</t>
  </si>
  <si>
    <t>2025-10-17</t>
  </si>
  <si>
    <t>EMG:LN_20251017_Q3_8K</t>
  </si>
  <si>
    <t>S12 | FY:25</t>
  </si>
  <si>
    <t>2026-02-26</t>
  </si>
  <si>
    <t>EMG:LN_20260226_H2_8K</t>
  </si>
  <si>
    <t>AUM p3; core pp50–55; compensation note 6.1; EPS note 13</t>
  </si>
  <si>
    <t>https://www.man.com/news-centre/results-for-the-financial-year-ended-31-december-2025</t>
  </si>
  <si>
    <t>S13 | Q1:26</t>
  </si>
  <si>
    <t>2026-04-23</t>
  </si>
  <si>
    <t>EMG:LN_20260423_Q1_8K</t>
  </si>
  <si>
    <t>AUM bridge, pp1–2</t>
  </si>
  <si>
    <t>S14 | H1:26</t>
  </si>
  <si>
    <t>2026-07-28</t>
  </si>
  <si>
    <t>EMG:LN_20260728_H1_8K</t>
  </si>
  <si>
    <t>AUM pp4–5; core pp23–26; EPS note 9</t>
  </si>
  <si>
    <t>https://www.man.com/news-centre/trading-statement-30-june-2026</t>
  </si>
  <si>
    <t>Man Group | model diagnostics</t>
  </si>
  <si>
    <t>Differences are model less disclosure. Zero is expected; EPS allows 0.10c for rounded source earnings.</t>
  </si>
  <si>
    <t>QUARTERLY AUM | SOURCE TIE-OUT</t>
  </si>
  <si>
    <t>Closing AUM less reported closing AUM</t>
  </si>
  <si>
    <t>Rebuilt other bucket less reported other</t>
  </si>
  <si>
    <t>H1 / FY FINANCIALS | INDEPENDENT DISCLOSURE CONTROLS</t>
  </si>
  <si>
    <t>Seed gains</t>
  </si>
  <si>
    <t>Management-fee PBT</t>
  </si>
  <si>
    <t>Performance / seed PBT</t>
  </si>
  <si>
    <t>Total core PBT</t>
  </si>
  <si>
    <t>Weighted diluted shares</t>
  </si>
  <si>
    <t>Diluted EPS, US cents</t>
  </si>
  <si>
    <t>Total compensation</t>
  </si>
  <si>
    <t>Management compensation</t>
  </si>
  <si>
    <t>Performance / seed compensation</t>
  </si>
  <si>
    <t>Asset servicing</t>
  </si>
  <si>
    <t>Other costs incl D&amp;A</t>
  </si>
  <si>
    <t>Other employment</t>
  </si>
  <si>
    <t>ANNUAL AUM | SEPARATE CUMULATIVE DISCLOSURES</t>
  </si>
  <si>
    <t>Annual net flows</t>
  </si>
  <si>
    <t>Annual investment performance</t>
  </si>
  <si>
    <t>Annual FX and other bucket</t>
  </si>
  <si>
    <t>Annual FX allocation</t>
  </si>
  <si>
    <t>Annual realisations allocation</t>
  </si>
  <si>
    <t>FORECAST MECHANICS | ACTIVE CASE</t>
  </si>
  <si>
    <t>Net flows assumption</t>
  </si>
  <si>
    <t>Investment-return assumption</t>
  </si>
  <si>
    <t>Fee-margin assumption</t>
  </si>
  <si>
    <t>Performance-fee assumption</t>
  </si>
  <si>
    <t>Fee-linked variable compensation</t>
  </si>
  <si>
    <t>Zero non-organic AUM changes</t>
  </si>
  <si>
    <t>Fixed compensation run-rate</t>
  </si>
  <si>
    <t>Diluted share count</t>
  </si>
  <si>
    <t>Effective tax rate</t>
  </si>
  <si>
    <t>Quarterly AUM other split is an allocation check, not independent evidence of FX timing.</t>
  </si>
  <si>
    <t>Forecast rows test formula consistency. Scenario perturbation tests are described in Readme.</t>
  </si>
  <si>
    <t>Man Group | definitions and judgement</t>
  </si>
  <si>
    <t>Scope</t>
  </si>
  <si>
    <t>Twenty quarters, Q1 2023–Q4 2027. Fiscal year ends 31 December. Evidence cutoff 14 September 2026; latest actuals are H1 2026. No forecast replaces an already reported period.</t>
  </si>
  <si>
    <t>A / E labels</t>
  </si>
  <si>
    <t>AUM A / P&amp;L E means the AUM quarter is disclosed but individual-quarter financial results are model estimates. H1 and FY earnings remain sourced actual controls. Forecast begins Q3 2026.</t>
  </si>
  <si>
    <t>Economic basis</t>
  </si>
  <si>
    <t>Core (company-adjusted) earnings remove non-core acquisition, restructuring and other adjustments, and eliminate consolidation gross-ups. Statutory profit and EPS are retained as historical memo inputs, not mixed into the forecast.</t>
  </si>
  <si>
    <t>AUM perimeter</t>
  </si>
  <si>
    <t>Use disclosed fee-paying AUM, excluding uncalled non-fee-paying commitments ($4.9bn at June 2026). Opening and closing AUM are stocks. Net flows and all earnings/costs are period flows.</t>
  </si>
  <si>
    <t>Average AUM</t>
  </si>
  <si>
    <t>A simple opening/closing midpoint assumes activity is spread through each quarter. It does not reproduce daily AUM or fund-level fee accrual. Historical fees are allocated by midpoint weights and reconcile to reported H1 and FY.</t>
  </si>
  <si>
    <t>Management fees</t>
  </si>
  <si>
    <t>Model net management fees after distribution costs. Forecast applies 56bp, the reported 2025 average, to midpoint AUM with a quarter-year factor. Immaterial service income is absorbed in this blended rate. Historical gross fees and distribution costs are shown separately as memo lines.</t>
  </si>
  <si>
    <t>Fee margin limitation</t>
  </si>
  <si>
    <t>The historical implied margin uses midpoint AUM and differs from the published margin. Base deliberately returns to the 2025 average 56bp despite H1 2026 average 52bp and 2025 exit run-rate 52bp. This is the exercise assumption; Downside tests continued 52bp.</t>
  </si>
  <si>
    <t>Performance-fee timing</t>
  </si>
  <si>
    <t>Default allocation is Q1 10% / Q2 90% of H1, and Q3 10% / Q4 90% of FY less H1. These are explicit estimates, not disclosed quarter results. Forecast copies the corresponding allocated 2025 quarter. Changing allocation alters quarters but leaves historical H1/FY intact.</t>
  </si>
  <si>
    <t>Recognition and carry</t>
  </si>
  <si>
    <t>Fees depend on fund high-water marks, benchmarks, hurdles and crystallisation. The assumed AUM investment return is therefore not multiplied by an incentive rate to generate fees. Earned carry sits within performance fees where applicable. Acquired carry receivables are stocks and are not added to revenue.</t>
  </si>
  <si>
    <t>Pass-through fees</t>
  </si>
  <si>
    <t>H1 2026 statutory performance/pass-through fees contain a $19m gross-up, with $18m of associated compensation. Core metrics remove it; the model follows the reported core basis. No unsupported standalone carry or incentive-fee series is created.</t>
  </si>
  <si>
    <t>Fixed costs</t>
  </si>
  <si>
    <t>All fixed compensation belongs to the recurring management-fee business. Forecast fixed compensation is $274m / 4 and other fixed costs including D&amp;A $215m / 4. No inflation or incremental cost savings are assumed. Other employment expense stays $7m / 4.</t>
  </si>
  <si>
    <t>Variable compensation</t>
  </si>
  <si>
    <t>Management participation is ($481m − $274m) / $1,077m. Performance/seed participation is $194m / ($281m + $38m). The latter attribution links fee costs to fees and seed costs to seed returns while preserving the company-reported total.</t>
  </si>
  <si>
    <t>Servicing scales with average total AUM at the 2025 calibrated blended rate. The disclosed approximately 5bp excludes systematic long-only AUM; applying it to total group AUM would use the wrong denominator.</t>
  </si>
  <si>
    <t>Other earnings items</t>
  </si>
  <si>
    <t>Seed investment gains and rental income stay at 2025 annual totals / 4. Management and seed financing remain $7m / 4 and $11m / 4. Management third-party profit share stays $2m / 4; performance share scales at $1m / $281m of fee revenue.</t>
  </si>
  <si>
    <t>Operating profit</t>
  </si>
  <si>
    <t>Model-defined core operating profit equals net revenue less core operating costs, including D&amp;A and other employment costs. It is before net finance expense and third-party profit allocations. A separate operating-profit line excludes seed gains. Core PBT reconciles to the company.</t>
  </si>
  <si>
    <t>Tax and EPS</t>
  </si>
  <si>
    <t>Forecast tax is the unrounded 2025 ratio $86m / $407m. Forecast shares are 1,164.877368m. H1 actuals retain their reported rates and shares. Annual shares are day-weighted, and EPS equals total profit / weighted diluted shares; quarterly EPS is never added to make FY EPS.</t>
  </si>
  <si>
    <t>AUM other allocations</t>
  </si>
  <si>
    <t>2024 and 2025 FX totals are disclosed annually. Quarter FX is allocated in proportion to the reported other bucket after acquisitions; 2024 realisations are spread evenly. Residual other preserves each quarter total. n/d components remain in other, not assumed zero. Forecast FX, acquisitions, realisations and other are zero.</t>
  </si>
  <si>
    <t>Scenario use</t>
  </si>
  <si>
    <t>Change Assumptions D4: 1 Base; 2 Downside (zero flows, 52bp, half fees); 3 Upside (+2% flows, 58bp, 1.5× fees); 4 Zero PF (base AUM/margin, no forecast performance fees). Individual forecast quarters are editable. One engine recalculates every case.</t>
  </si>
  <si>
    <t>Zero-fee interpretation</t>
  </si>
  <si>
    <t>Historical H1 2026 performance fees of $207m remain actual in every case. Only forecast performance fees become zero. FY2027 shows a full year without performance fees. Seed gains, their compensation and seed funding remain; Zero PF is not a zero-investment-income case.</t>
  </si>
  <si>
    <t>Checks</t>
  </si>
  <si>
    <t>AUM reconciles quarterly to source; fees, cost components, both PBT streams, tax, profit and weighted shares reconcile to H1/FY controls. EPS differences within 0.10 US cents reflect rounded published dollar profits and share counts. Allocation identities are labelled separately from source tie-outs.</t>
  </si>
  <si>
    <t>Refresh</t>
  </si>
  <si>
    <t>Add the next quarter AUM bridge and next H1/FY financial control, preserve previous sources, replace affected forecast cells with allocation formulas, and move the forecast cutoff. Rebase exercise assumptions only deliberately; do not automatically substitute new management guidance.</t>
  </si>
  <si>
    <t>Verification</t>
  </si>
  <si>
    <t>Recalculated every case, confirmed historical invariance, tested a later-quarter driver and missing selected/unselected inputs, and inspected each sheet. Reopened the exported workbook to verify formulas, comments and outputs. Native Excel verification is recorded in the accompanying model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</si>
</sst>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quot;–&quot;"/>
    <numFmt numFmtId="165" formatCode="#,##0.000;\(#,##0.000\);&quot;–&quot;"/>
    <numFmt numFmtId="166" formatCode="0.00;\(0.00\);&quot;–&quot;"/>
    <numFmt numFmtId="167" formatCode="0.0%;\(0.0%\);&quot;–&quot;"/>
    <numFmt numFmtId="168" formatCode="0.0&quot; bp&quot;;\(0.0&quot; bp&quot;\);&quot;–&quot;"/>
    <numFmt numFmtId="169" formatCode="0.00&quot;x&quot;"/>
    <numFmt numFmtId="170" formatCode="#,##0.000"/>
    <numFmt numFmtId="171" formatCode="0.00;\(0.00\);0.00"/>
  </numFmts>
  <fonts count="14">
    <font>
      <sz val="11"/>
      <name val="Carlito"/>
    </font>
    <font>
      <sz val="10"/>
      <name val="Arial"/>
      <family val="2"/>
    </font>
    <font>
      <sz val="10"/>
      <color rgb="FF182C3C"/>
      <name val="Arial"/>
      <family val="2"/>
    </font>
    <font>
      <b/>
      <sz val="16"/>
      <color rgb="FF182C3C"/>
      <name val="Arial"/>
      <family val="2"/>
    </font>
    <font>
      <sz val="10"/>
      <color rgb="FF008040"/>
      <name val="Arial"/>
      <family val="2"/>
    </font>
    <font>
      <b/>
      <sz val="10"/>
      <color rgb="FF182C3C"/>
      <name val="Arial"/>
      <family val="2"/>
    </font>
    <font>
      <sz val="10"/>
      <color rgb="FF0000CC"/>
      <name val="Arial"/>
      <family val="2"/>
    </font>
    <font>
      <sz val="10"/>
      <color rgb="FFFFFFFF"/>
      <name val="Arial"/>
      <family val="2"/>
    </font>
    <font>
      <b/>
      <sz val="10"/>
      <color rgb="FF008040"/>
      <name val="Arial"/>
      <family val="2"/>
    </font>
    <font>
      <sz val="9"/>
      <color rgb="FF182C3C"/>
      <name val="Arial"/>
      <family val="2"/>
    </font>
    <font>
      <i/>
      <sz val="10"/>
      <color rgb="FF182C3C"/>
      <name val="Arial"/>
      <family val="2"/>
    </font>
    <font>
      <i/>
      <sz val="10"/>
      <color rgb="FF008040"/>
      <name val="Arial"/>
      <family val="2"/>
    </font>
    <font>
      <sz val="11"/>
      <color rgb="FF182C3C"/>
      <name val="Carlito"/>
    </font>
    <font>
      <sz val="11"/>
      <color rgb="FF008040"/>
      <name val="Carlito"/>
    </font>
  </fonts>
  <fills count="7">
    <fill>
      <patternFill patternType="none"/>
    </fill>
    <fill>
      <patternFill patternType="gray125"/>
    </fill>
    <fill>
      <patternFill patternType="solid">
        <fgColor rgb="FFE9F0F5"/>
      </patternFill>
    </fill>
    <fill>
      <patternFill patternType="solid">
        <fgColor rgb="FF18344B"/>
      </patternFill>
    </fill>
    <fill>
      <patternFill patternType="solid">
        <fgColor rgb="FFFFF2CC"/>
      </patternFill>
    </fill>
    <fill>
      <patternFill patternType="solid">
        <fgColor rgb="FFEDF4F8"/>
      </patternFill>
    </fill>
    <fill>
      <patternFill patternType="solid">
        <fgColor rgb="FFFFF4DE"/>
      </patternFill>
    </fill>
  </fills>
  <borders count="6">
    <border>
      <left/>
      <right/>
      <top/>
      <bottom/>
      <diagonal/>
    </border>
    <border>
      <left/>
      <right/>
      <top/>
      <bottom style="thin">
        <color rgb="FF18344B"/>
      </bottom>
      <diagonal/>
    </border>
    <border>
      <left style="dotted">
        <color rgb="FFBCCAD5"/>
      </left>
      <right/>
      <top style="dotted">
        <color rgb="FFBCCAD5"/>
      </top>
      <bottom style="dotted">
        <color rgb="FFBCCAD5"/>
      </bottom>
      <diagonal/>
    </border>
    <border>
      <left/>
      <right/>
      <top style="dotted">
        <color rgb="FFBCCAD5"/>
      </top>
      <bottom style="dotted">
        <color rgb="FFBCCAD5"/>
      </bottom>
      <diagonal/>
    </border>
    <border>
      <left/>
      <right style="dotted">
        <color rgb="FFBCCAD5"/>
      </right>
      <top style="dotted">
        <color rgb="FFBCCAD5"/>
      </top>
      <bottom style="dotted">
        <color rgb="FFBCCAD5"/>
      </bottom>
      <diagonal/>
    </border>
    <border>
      <left/>
      <right/>
      <top style="thin">
        <color rgb="FFBCCAD5"/>
      </top>
      <bottom/>
      <diagonal/>
    </border>
  </borders>
  <cellStyleXfs count="1">
    <xf numFmtId="0" fontId="0" fillId="0" borderId="0"/>
  </cellStyleXfs>
  <cellXfs count="64">
    <xf numFmtId="0" fontId="0" fillId="0" borderId="0" xfId="0"/>
    <xf numFmtId="0" fontId="1" fillId="0" borderId="0" xfId="0" applyFont="1"/>
    <xf numFmtId="0" fontId="2" fillId="0" borderId="0" xfId="0" applyFont="1" applyAlignment="1">
      <alignment vertical="center"/>
    </xf>
    <xf numFmtId="164" fontId="2" fillId="0" borderId="0" xfId="0" applyNumberFormat="1" applyFont="1" applyAlignment="1">
      <alignment vertical="center"/>
    </xf>
    <xf numFmtId="0" fontId="3" fillId="0" borderId="0" xfId="0" applyFont="1" applyAlignment="1">
      <alignment vertical="center"/>
    </xf>
    <xf numFmtId="0" fontId="2" fillId="0" borderId="1" xfId="0" applyFont="1" applyBorder="1" applyAlignment="1">
      <alignment vertical="center"/>
    </xf>
    <xf numFmtId="164" fontId="2" fillId="0" borderId="1" xfId="0" applyNumberFormat="1" applyFont="1" applyBorder="1" applyAlignment="1">
      <alignment vertical="center"/>
    </xf>
    <xf numFmtId="164" fontId="4" fillId="0" borderId="0" xfId="0" applyNumberFormat="1" applyFont="1" applyAlignment="1">
      <alignment vertical="center"/>
    </xf>
    <xf numFmtId="164" fontId="4" fillId="0" borderId="2" xfId="0" applyNumberFormat="1" applyFont="1" applyBorder="1" applyAlignment="1">
      <alignment vertical="center"/>
    </xf>
    <xf numFmtId="164" fontId="2" fillId="0" borderId="3" xfId="0" applyNumberFormat="1" applyFont="1" applyBorder="1" applyAlignment="1">
      <alignment vertical="center"/>
    </xf>
    <xf numFmtId="164" fontId="2" fillId="0" borderId="4" xfId="0" applyNumberFormat="1" applyFont="1" applyBorder="1" applyAlignment="1">
      <alignment vertical="center"/>
    </xf>
    <xf numFmtId="0" fontId="5" fillId="2" borderId="0" xfId="0" applyFont="1" applyFill="1" applyAlignment="1">
      <alignment vertical="center"/>
    </xf>
    <xf numFmtId="164" fontId="5" fillId="2" borderId="0" xfId="0" applyNumberFormat="1" applyFont="1" applyFill="1" applyAlignment="1">
      <alignment vertical="center"/>
    </xf>
    <xf numFmtId="164" fontId="6" fillId="0" borderId="0" xfId="0" applyNumberFormat="1" applyFont="1" applyAlignment="1">
      <alignment vertical="center"/>
    </xf>
    <xf numFmtId="165" fontId="6" fillId="0" borderId="0" xfId="0" applyNumberFormat="1" applyFont="1" applyAlignment="1">
      <alignment vertical="center"/>
    </xf>
    <xf numFmtId="166" fontId="6" fillId="0" borderId="0" xfId="0" applyNumberFormat="1" applyFont="1" applyAlignment="1">
      <alignment vertical="center"/>
    </xf>
    <xf numFmtId="0" fontId="1" fillId="2" borderId="0" xfId="0" applyFont="1" applyFill="1"/>
    <xf numFmtId="164" fontId="6" fillId="4" borderId="0" xfId="0" applyNumberFormat="1" applyFont="1" applyFill="1" applyAlignment="1">
      <alignment vertical="center"/>
    </xf>
    <xf numFmtId="167" fontId="4" fillId="0" borderId="0" xfId="0" applyNumberFormat="1" applyFont="1" applyAlignment="1">
      <alignment vertical="center"/>
    </xf>
    <xf numFmtId="167" fontId="2" fillId="0" borderId="0" xfId="0" applyNumberFormat="1" applyFont="1" applyAlignment="1">
      <alignment vertical="center"/>
    </xf>
    <xf numFmtId="167" fontId="6" fillId="4" borderId="0" xfId="0" applyNumberFormat="1" applyFont="1" applyFill="1" applyAlignment="1">
      <alignment vertical="center"/>
    </xf>
    <xf numFmtId="0" fontId="5" fillId="0" borderId="0" xfId="0" applyFont="1" applyAlignment="1">
      <alignment vertical="center"/>
    </xf>
    <xf numFmtId="167" fontId="8" fillId="0" borderId="0" xfId="0" applyNumberFormat="1" applyFont="1" applyAlignment="1">
      <alignment vertical="center"/>
    </xf>
    <xf numFmtId="167" fontId="5" fillId="0" borderId="0" xfId="0" applyNumberFormat="1" applyFont="1" applyAlignment="1">
      <alignment vertical="center"/>
    </xf>
    <xf numFmtId="168" fontId="4" fillId="0" borderId="0" xfId="0" applyNumberFormat="1" applyFont="1" applyAlignment="1">
      <alignment vertical="center"/>
    </xf>
    <xf numFmtId="168" fontId="2" fillId="0" borderId="0" xfId="0" applyNumberFormat="1" applyFont="1" applyAlignment="1">
      <alignment vertical="center"/>
    </xf>
    <xf numFmtId="168" fontId="2" fillId="4" borderId="0" xfId="0" applyNumberFormat="1" applyFont="1" applyFill="1" applyAlignment="1">
      <alignment vertical="center"/>
    </xf>
    <xf numFmtId="168" fontId="6" fillId="4" borderId="0" xfId="0" applyNumberFormat="1" applyFont="1" applyFill="1" applyAlignment="1">
      <alignment vertical="center"/>
    </xf>
    <xf numFmtId="168" fontId="8" fillId="0" borderId="0" xfId="0" applyNumberFormat="1" applyFont="1" applyAlignment="1">
      <alignment vertical="center"/>
    </xf>
    <xf numFmtId="168" fontId="5" fillId="0" borderId="0" xfId="0" applyNumberFormat="1" applyFont="1" applyAlignment="1">
      <alignment vertical="center"/>
    </xf>
    <xf numFmtId="164" fontId="4" fillId="4" borderId="0" xfId="0" applyNumberFormat="1" applyFont="1" applyFill="1" applyAlignment="1">
      <alignment vertical="center"/>
    </xf>
    <xf numFmtId="164" fontId="8" fillId="0" borderId="0" xfId="0" applyNumberFormat="1" applyFont="1" applyAlignment="1">
      <alignment vertical="center"/>
    </xf>
    <xf numFmtId="164" fontId="5" fillId="0" borderId="0" xfId="0" applyNumberFormat="1" applyFont="1" applyAlignment="1">
      <alignment vertical="center"/>
    </xf>
    <xf numFmtId="167" fontId="6" fillId="0" borderId="0" xfId="0" applyNumberFormat="1" applyFont="1" applyAlignment="1">
      <alignment vertical="center"/>
    </xf>
    <xf numFmtId="169" fontId="6" fillId="0" borderId="0" xfId="0" applyNumberFormat="1" applyFont="1" applyAlignment="1">
      <alignment vertical="center"/>
    </xf>
    <xf numFmtId="1" fontId="6" fillId="0" borderId="0" xfId="0" applyNumberFormat="1" applyFont="1" applyAlignment="1">
      <alignment vertical="center"/>
    </xf>
    <xf numFmtId="170" fontId="4" fillId="0" borderId="0" xfId="0" applyNumberFormat="1" applyFont="1" applyAlignment="1">
      <alignment vertical="center"/>
    </xf>
    <xf numFmtId="15" fontId="2" fillId="0" borderId="0" xfId="0" applyNumberFormat="1" applyFont="1" applyAlignment="1">
      <alignment vertical="center"/>
    </xf>
    <xf numFmtId="164" fontId="5" fillId="5" borderId="0" xfId="0" applyNumberFormat="1" applyFont="1" applyFill="1" applyAlignment="1">
      <alignment vertical="center"/>
    </xf>
    <xf numFmtId="164" fontId="2" fillId="5" borderId="0" xfId="0" applyNumberFormat="1" applyFont="1" applyFill="1" applyAlignment="1">
      <alignment vertical="center"/>
    </xf>
    <xf numFmtId="164" fontId="4" fillId="5" borderId="0" xfId="0" applyNumberFormat="1" applyFont="1" applyFill="1" applyAlignment="1">
      <alignment vertical="center"/>
    </xf>
    <xf numFmtId="0" fontId="5" fillId="0" borderId="5" xfId="0" applyFont="1" applyBorder="1" applyAlignment="1">
      <alignment vertical="center"/>
    </xf>
    <xf numFmtId="164" fontId="5" fillId="0" borderId="5" xfId="0" applyNumberFormat="1" applyFont="1" applyBorder="1" applyAlignment="1">
      <alignment vertical="center"/>
    </xf>
    <xf numFmtId="164" fontId="5" fillId="5" borderId="5" xfId="0" applyNumberFormat="1" applyFont="1" applyFill="1" applyBorder="1" applyAlignment="1">
      <alignment vertical="center"/>
    </xf>
    <xf numFmtId="164" fontId="8" fillId="5" borderId="5" xfId="0" applyNumberFormat="1" applyFont="1" applyFill="1" applyBorder="1" applyAlignment="1">
      <alignment vertical="center"/>
    </xf>
    <xf numFmtId="0" fontId="10" fillId="0" borderId="0" xfId="0" applyFont="1" applyAlignment="1">
      <alignment vertical="center"/>
    </xf>
    <xf numFmtId="167" fontId="10" fillId="0" borderId="0" xfId="0" applyNumberFormat="1" applyFont="1" applyAlignment="1">
      <alignment vertical="center"/>
    </xf>
    <xf numFmtId="167" fontId="10" fillId="5" borderId="0" xfId="0" applyNumberFormat="1" applyFont="1" applyFill="1" applyAlignment="1">
      <alignment vertical="center"/>
    </xf>
    <xf numFmtId="167" fontId="11" fillId="0" borderId="0" xfId="0" applyNumberFormat="1" applyFont="1" applyAlignment="1">
      <alignment vertical="center"/>
    </xf>
    <xf numFmtId="168" fontId="4" fillId="5" borderId="0" xfId="0" applyNumberFormat="1" applyFont="1" applyFill="1" applyAlignment="1">
      <alignment vertical="center"/>
    </xf>
    <xf numFmtId="166" fontId="8" fillId="0" borderId="5" xfId="0" applyNumberFormat="1" applyFont="1" applyBorder="1" applyAlignment="1">
      <alignment vertical="center"/>
    </xf>
    <xf numFmtId="166" fontId="8" fillId="5" borderId="5" xfId="0" applyNumberFormat="1" applyFont="1" applyFill="1" applyBorder="1" applyAlignment="1">
      <alignment vertical="center"/>
    </xf>
    <xf numFmtId="0" fontId="12" fillId="0" borderId="0" xfId="0" applyFont="1"/>
    <xf numFmtId="166" fontId="13" fillId="0" borderId="0" xfId="0" applyNumberFormat="1" applyFont="1"/>
    <xf numFmtId="168" fontId="13" fillId="0" borderId="0" xfId="0" applyNumberFormat="1" applyFont="1"/>
    <xf numFmtId="166" fontId="5" fillId="0" borderId="5" xfId="0" applyNumberFormat="1" applyFont="1" applyBorder="1" applyAlignment="1">
      <alignment vertical="center"/>
    </xf>
    <xf numFmtId="171" fontId="2" fillId="0" borderId="0" xfId="0" applyNumberFormat="1" applyFont="1" applyAlignment="1">
      <alignment vertical="center"/>
    </xf>
    <xf numFmtId="164" fontId="2" fillId="0" borderId="0" xfId="0" applyNumberFormat="1" applyFont="1" applyAlignment="1">
      <alignment vertical="center" wrapText="1"/>
    </xf>
    <xf numFmtId="164" fontId="7" fillId="3" borderId="0" xfId="0" applyNumberFormat="1" applyFont="1" applyFill="1" applyAlignment="1">
      <alignment horizontal="center" vertical="center"/>
    </xf>
    <xf numFmtId="164" fontId="2" fillId="0" borderId="0" xfId="0" applyNumberFormat="1" applyFont="1" applyAlignment="1">
      <alignment horizontal="center" vertical="center"/>
    </xf>
    <xf numFmtId="164" fontId="9" fillId="6" borderId="0" xfId="0" applyNumberFormat="1" applyFont="1" applyFill="1" applyAlignment="1">
      <alignment horizontal="center" vertical="center"/>
    </xf>
    <xf numFmtId="164" fontId="9" fillId="0" borderId="0" xfId="0" applyNumberFormat="1" applyFont="1" applyAlignment="1">
      <alignment horizontal="center" vertical="center"/>
    </xf>
    <xf numFmtId="164" fontId="6" fillId="0" borderId="0" xfId="0" applyNumberFormat="1" applyFont="1" applyAlignment="1">
      <alignment horizontal="right" vertical="center"/>
    </xf>
    <xf numFmtId="1" fontId="6" fillId="4" borderId="0" xfId="0" applyNumberFormat="1" applyFont="1" applyFill="1" applyAlignment="1">
      <alignment vertical="center"/>
    </xf>
  </cellXfs>
  <cellStyles count="1">
    <cellStyle name="Normal" xfId="0" builtinId="0"/>
  </cellStyles>
  <dxfs count="6">
    <dxf>
      <font>
        <b/>
        <color rgb="FFC00000"/>
      </font>
      <fill>
        <patternFill patternType="solid">
          <bgColor rgb="FFFCE4D6"/>
        </patternFill>
      </fill>
    </dxf>
    <dxf>
      <font>
        <b/>
        <color rgb="FFC00000"/>
      </font>
      <fill>
        <patternFill patternType="solid">
          <bgColor rgb="FFFCE4D6"/>
        </patternFill>
      </fill>
    </dxf>
    <dxf>
      <font>
        <b/>
        <color rgb="FFC00000"/>
      </font>
      <fill>
        <patternFill patternType="solid">
          <bgColor rgb="FFFCE4D6"/>
        </patternFill>
      </fill>
    </dxf>
    <dxf>
      <font>
        <b/>
        <color rgb="FFC00000"/>
      </font>
      <fill>
        <patternFill patternType="solid">
          <bgColor rgb="FFFCE4D6"/>
        </patternFill>
      </fill>
    </dxf>
    <dxf>
      <font>
        <b/>
        <color rgb="FFC00000"/>
      </font>
      <fill>
        <patternFill patternType="solid">
          <bgColor rgb="FFFCE4D6"/>
        </patternFill>
      </fill>
    </dxf>
    <dxf>
      <font>
        <b/>
        <color rgb="FFC00000"/>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GB" sz="900">
                <a:latin typeface="Arial"/>
                <a:ea typeface="Arial"/>
                <a:cs typeface="Arial"/>
              </a:rPr>
              <a:t>Core profit sources (USD m)</a:t>
            </a:r>
          </a:p>
        </c:rich>
      </c:tx>
      <c:overlay val="0"/>
    </c:title>
    <c:autoTitleDeleted val="0"/>
    <c:plotArea>
      <c:layout/>
      <c:barChart>
        <c:barDir val="col"/>
        <c:grouping val="clustered"/>
        <c:varyColors val="0"/>
        <c:ser>
          <c:idx val="0"/>
          <c:order val="0"/>
          <c:tx>
            <c:v>Mgmt PBT</c:v>
          </c:tx>
          <c:spPr>
            <a:solidFill>
              <a:srgbClr val="18344B"/>
            </a:solidFill>
          </c:spPr>
          <c:invertIfNegative val="1"/>
          <c:cat>
            <c:strRef>
              <c:f>Summary!$C$53:$C$57</c:f>
              <c:strCache>
                <c:ptCount val="5"/>
                <c:pt idx="0">
                  <c:v>FY:23</c:v>
                </c:pt>
                <c:pt idx="1">
                  <c:v>FY:24</c:v>
                </c:pt>
                <c:pt idx="2">
                  <c:v>FY:25</c:v>
                </c:pt>
                <c:pt idx="3">
                  <c:v>FY:26</c:v>
                </c:pt>
                <c:pt idx="4">
                  <c:v>FY:27</c:v>
                </c:pt>
              </c:strCache>
            </c:strRef>
          </c:cat>
          <c:val>
            <c:numRef>
              <c:f>Summary!$D$53:$D$57</c:f>
              <c:numCache>
                <c:formatCode>#,##0.0;\(#,##0.0\);"–"</c:formatCode>
                <c:ptCount val="5"/>
                <c:pt idx="0">
                  <c:v>280</c:v>
                </c:pt>
                <c:pt idx="1">
                  <c:v>323</c:v>
                </c:pt>
                <c:pt idx="2">
                  <c:v>293.99999999999994</c:v>
                </c:pt>
                <c:pt idx="3">
                  <c:v>473.73768752705735</c:v>
                </c:pt>
                <c:pt idx="4">
                  <c:v>658.75410606129617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5CC7-E44F-BD62-907553A3027F}"/>
            </c:ext>
          </c:extLst>
        </c:ser>
        <c:ser>
          <c:idx val="1"/>
          <c:order val="1"/>
          <c:tx>
            <c:v>PF / seed PBT</c:v>
          </c:tx>
          <c:spPr>
            <a:solidFill>
              <a:srgbClr val="6DA5B0"/>
            </a:solidFill>
          </c:spPr>
          <c:invertIfNegative val="1"/>
          <c:cat>
            <c:strRef>
              <c:f>Summary!$C$53:$C$57</c:f>
              <c:strCache>
                <c:ptCount val="5"/>
                <c:pt idx="0">
                  <c:v>FY:23</c:v>
                </c:pt>
                <c:pt idx="1">
                  <c:v>FY:24</c:v>
                </c:pt>
                <c:pt idx="2">
                  <c:v>FY:25</c:v>
                </c:pt>
                <c:pt idx="3">
                  <c:v>FY:26</c:v>
                </c:pt>
                <c:pt idx="4">
                  <c:v>FY:27</c:v>
                </c:pt>
              </c:strCache>
            </c:strRef>
          </c:cat>
          <c:val>
            <c:numRef>
              <c:f>Summary!$E$53:$E$57</c:f>
              <c:numCache>
                <c:formatCode>#,##0.0;\(#,##0.0\);"–"</c:formatCode>
                <c:ptCount val="5"/>
                <c:pt idx="0">
                  <c:v>60.000000000000007</c:v>
                </c:pt>
                <c:pt idx="1">
                  <c:v>150</c:v>
                </c:pt>
                <c:pt idx="2">
                  <c:v>113</c:v>
                </c:pt>
                <c:pt idx="3">
                  <c:v>196.03937460257254</c:v>
                </c:pt>
                <c:pt idx="4">
                  <c:v>113.00000000000003</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5CC7-E44F-BD62-907553A3027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750">
                <a:latin typeface="Arial"/>
                <a:ea typeface="Arial"/>
                <a:cs typeface="Arial"/>
              </a:defRPr>
            </a:pPr>
            <a:endParaRPr lang="en-US"/>
          </a:p>
        </c:txPr>
        <c:crossAx val="48650112"/>
        <c:crosses val="autoZero"/>
        <c:crossBetween val="between"/>
      </c:valAx>
    </c:plotArea>
    <c:legend>
      <c:legendPos val="b"/>
      <c:overlay val="0"/>
      <c:txPr>
        <a:bodyPr anchorCtr="1"/>
        <a:lstStyle/>
        <a:p>
          <a:pPr>
            <a:defRPr sz="750">
              <a:latin typeface="Arial"/>
              <a:ea typeface="Arial"/>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39</xdr:row>
      <xdr:rowOff>0</xdr:rowOff>
    </xdr:from>
    <xdr:to>
      <xdr:col>14</xdr:col>
      <xdr:colOff>0</xdr:colOff>
      <xdr:row>57</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812800</xdr:colOff>
      <xdr:row>52</xdr:row>
      <xdr:rowOff>152400</xdr:rowOff>
    </xdr:to>
    <xdr:sp macro="" textlink="">
      <xdr:nvSpPr>
        <xdr:cNvPr id="2058" name="Text Box 10" hidden="1">
          <a:extLst>
            <a:ext uri="{FF2B5EF4-FFF2-40B4-BE49-F238E27FC236}">
              <a16:creationId xmlns:a16="http://schemas.microsoft.com/office/drawing/2014/main" id="{45C4F8B1-AB78-CA59-F6C9-BCDCEA4EC5FE}"/>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812800</xdr:colOff>
      <xdr:row>52</xdr:row>
      <xdr:rowOff>152400</xdr:rowOff>
    </xdr:to>
    <xdr:sp macro="" textlink="">
      <xdr:nvSpPr>
        <xdr:cNvPr id="3329" name="Text Box 257" hidden="1">
          <a:extLst>
            <a:ext uri="{FF2B5EF4-FFF2-40B4-BE49-F238E27FC236}">
              <a16:creationId xmlns:a16="http://schemas.microsoft.com/office/drawing/2014/main" id="{05EE441E-991B-B542-37B7-FDC47913C0E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812800</xdr:colOff>
      <xdr:row>52</xdr:row>
      <xdr:rowOff>152400</xdr:rowOff>
    </xdr:to>
    <xdr:sp macro="" textlink="">
      <xdr:nvSpPr>
        <xdr:cNvPr id="4102" name="Text Box 6" hidden="1">
          <a:extLst>
            <a:ext uri="{FF2B5EF4-FFF2-40B4-BE49-F238E27FC236}">
              <a16:creationId xmlns:a16="http://schemas.microsoft.com/office/drawing/2014/main" id="{13AAEFA7-68F6-3D9F-BB65-F99437110B39}"/>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User" id="{E318F780-FD6E-4553-A307-152AE3F8479B}" userId="" providerId=""/>
</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41" dT="2026-09-14T16:33:13.87" personId="{E318F780-FD6E-4553-A307-152AE3F8479B}" id="{A518F3B3-C743-4D43-8F24-4B5FAD0B4E8A}">
    <text>Judgement: allocate 10% of H1 performance fees to Q1 and 90% to Q2. Q1/Q3 disclosures provide AUM, not earnings. This allows limited intra-half crystallisations while concentrating recognition in the reporting half-end quarter. It is not a disclosed quarterly result. Change this input to test timing; H1 and FY totals stay fixed.</text>
  </threadedComment>
  <threadedComment ref="D42" dT="2026-09-14T16:33:13.87" personId="{E318F780-FD6E-4553-A307-152AE3F8479B}" id="{9E2C135F-F8EE-4D5D-866F-EDB81E504D9B}">
    <text>Judgement: allocate 10% of FY less H1 performance fees to Q3 and 90% to Q4. Forecasts copy the corresponding 2025 estimated quarter, as required by the exercise. This timing is an assumption, not observed seasonality.</text>
  </threadedComment>
  <threadedComment ref="D50" dT="2026-09-14T16:33:13.87" personId="{E318F780-FD6E-4553-A307-152AE3F8479B}" id="{EE8B9BC0-216C-49ED-BDDB-C319B1100EE3}">
    <text>Uses the published 2025 average net management-fee margin of 56bp, held flat under the exercise. H1 2026 reported 52bp and year-end 2025 run-rate margin was 52bp. Forecast assumes a recovery to the 2025 average. Midpoint AUM is a proxy; historical fees / midpoint AUM need not exactly match the published fund-level margin.</text>
  </threadedComment>
  <threadedComment ref="D51" dT="2026-09-14T16:33:13.87" personId="{E318F780-FD6E-4553-A307-152AE3F8479B}" id="{CE437C96-4E8F-43E1-A742-DAED2FBCE51B}">
    <text>All fixed compensation is assigned to the management-fee business, consistent with treating disclosed performance-fee compensation as variable. ($481m management compensation less $274m fixed) / $1,077m net management fees = variable management compensation ratio.</text>
  </threadedComment>
  <threadedComment ref="D52" dT="2026-09-14T16:33:13.87" personId="{E318F780-FD6E-4553-A307-152AE3F8479B}" id="{0EFBCE22-A056-4A37-9930-C6491BACCF46}">
    <text>Company groups seed investment gains with performance-fee profits. Allocate disclosed $194m performance-fee compensation across $281m fees plus $38m seed gains at one 2025 participation ratio. This is a model attribution. A zero fee scenario removes the fee-linked compensation; seed-linked compensation remains with the seed gain assumption.</text>
  </threadedComment>
  <threadedComment ref="D53" dT="2026-09-14T16:33:13.87" personId="{E318F780-FD6E-4553-A307-152AE3F8479B}" id="{32FF70A8-0AE0-4555-93E4-4829463A88E9}">
    <text>Calibrated blended servicing cost per dollar of midpoint total AUM. Company quotes around 5bp on a narrower AUM perimeter excluding systematic long-only; applying 5bp to total AUM would overstate costs. This blended rate assumes a stable servicing mix.</text>
  </threadedComment>
  <threadedComment ref="D56" dT="2026-09-14T16:33:13.87" personId="{E318F780-FD6E-4553-A307-152AE3F8479B}" id="{CD45BCBD-1572-4B49-A496-EE34E6284B4C}">
    <text>Use unrounded ratio $86m/$407m, approximately 21.13%, rather than rounded published 21%. Apply to forecast quarters only; actual H1 2026 tax and shares stay reported.</text>
  </threadedComment>
  <threadedComment ref="D57" dT="2026-09-14T16:33:13.87" personId="{E318F780-FD6E-4553-A307-152AE3F8479B}" id="{65509F12-7167-4AA2-8793-4CC2F2D67EDF}">
    <text>Hold base-year diluted weighted-average shares at 1,164.877368 million for forecast quarters. No incremental buyback or issuance is assumed; FY2026 averages actual H1 shares with this H2 forecast.</text>
  </threadedComment>
  <threadedComment ref="D64" dT="2026-09-14T16:33:13.87" personId="{E318F780-FD6E-4553-A307-152AE3F8479B}" id="{86E226C9-E3FD-4081-B46E-C55CBE336BEA}">
    <text>Seed-book funding remains at 2025 annual expense / 4, including in the zero-performance-fee case, because seed investment exposure is held unchanged.</text>
  </threadedComment>
</ThreadedComments>
</file>

<file path=xl/threadedComments/threadedComment2.xml><?xml version="1.0" encoding="utf-8"?>
<ThreadedComments xmlns="http://schemas.microsoft.com/office/spreadsheetml/2018/threadedcomments" xmlns:x="http://schemas.openxmlformats.org/spreadsheetml/2006/main">
  <threadedComment ref="H13" dT="2026-09-14T16:33:13.88" personId="{E318F780-FD6E-4553-A307-152AE3F8479B}" id="{CDBEA398-A87B-42B5-AD35-F3EFE4D09F9A}">
    <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ext>
  </threadedComment>
  <threadedComment ref="I13" dT="2026-09-14T16:33:13.88" personId="{E318F780-FD6E-4553-A307-152AE3F8479B}" id="{B0FDDE5E-33B2-408F-96E2-3735FDEF93F1}">
    <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ext>
  </threadedComment>
  <threadedComment ref="J13" dT="2026-09-14T16:33:13.88" personId="{E318F780-FD6E-4553-A307-152AE3F8479B}" id="{F2F4C977-6DEA-4976-8DED-74718DA428B4}">
    <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ext>
  </threadedComment>
  <threadedComment ref="K13" dT="2026-09-14T16:33:13.88" personId="{E318F780-FD6E-4553-A307-152AE3F8479B}" id="{276E7B68-75C7-4D53-95C4-DF7FFCFF7955}">
    <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ext>
  </threadedComment>
  <threadedComment ref="L13" dT="2026-09-14T16:32:36.76" personId="{E318F780-FD6E-4553-A307-152AE3F8479B}" id="{4DEDCDD7-B36D-416F-8471-BEB418A7E277}">
    <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ext>
  </threadedComment>
  <threadedComment ref="M13" dT="2026-09-14T16:33:13.88" personId="{E318F780-FD6E-4553-A307-152AE3F8479B}" id="{80901E30-2508-42F2-9B6B-C949BA11BEC8}">
    <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ext>
  </threadedComment>
  <threadedComment ref="N13" dT="2026-09-14T16:33:13.88" personId="{E318F780-FD6E-4553-A307-152AE3F8479B}" id="{BEA9853A-0C73-4500-A479-B138DD523D21}">
    <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ext>
  </threadedComment>
  <threadedComment ref="O13" dT="2026-09-14T16:33:13.88" personId="{E318F780-FD6E-4553-A307-152AE3F8479B}" id="{429FE215-296E-4018-B00C-6A631CCA5B5C}">
    <text>Estimated quarterly FX: allocate the separately disclosed annual FX total in proportion to each quarter’s reported FX-and-other bucket excluding identified acquisitions. Quarterly FX is not disclosed. This preserves annual FX and each quarter’s total AUM bridge; the residual other line absorbs differences.</text>
  </threadedComment>
  <threadedComment ref="H15" dT="2026-09-14T16:33:13.88" personId="{E318F780-FD6E-4553-A307-152AE3F8479B}" id="{5A22C8DB-D5F4-45A8-BAD3-807CBD934D74}">
    <text>FY2024 disclosed $2.1bn of maturities/realisations. Timing is not disclosed: allocate evenly across four quarters; retain the exact quarterly total other bucket using a residual other line.</text>
  </threadedComment>
  <threadedComment ref="I15" dT="2026-09-14T16:33:13.88" personId="{E318F780-FD6E-4553-A307-152AE3F8479B}" id="{62A5B251-23DF-4ADB-91C2-4C015C6CD153}">
    <text>FY2024 disclosed $2.1bn of maturities/realisations. Timing is not disclosed: allocate evenly across four quarters; retain the exact quarterly total other bucket using a residual other line.</text>
  </threadedComment>
  <threadedComment ref="J15" dT="2026-09-14T16:33:13.88" personId="{E318F780-FD6E-4553-A307-152AE3F8479B}" id="{ED707D1E-5FA7-46B7-B4CE-A1E728DE8662}">
    <text>FY2024 disclosed $2.1bn of maturities/realisations. Timing is not disclosed: allocate evenly across four quarters; retain the exact quarterly total other bucket using a residual other line.</text>
  </threadedComment>
  <threadedComment ref="K15" dT="2026-09-14T16:33:13.88" personId="{E318F780-FD6E-4553-A307-152AE3F8479B}" id="{1D1AFE4F-BC2D-4828-B880-9BF477D6A632}">
    <text>FY2024 disclosed $2.1bn of maturities/realisations. Timing is not disclosed: allocate evenly across four quarters; retain the exact quarterly total other bucket using a residual other line.</text>
  </threadedComment>
  <threadedComment ref="D26" dT="2026-09-14T16:33:13.88" personId="{E318F780-FD6E-4553-A307-152AE3F8479B}" id="{504353C4-64AA-497F-9BF0-60DDD5B988B0}">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E26" dT="2026-09-14T16:32:36.75" personId="{E318F780-FD6E-4553-A307-152AE3F8479B}" id="{CC41711F-995B-4B59-9724-83F999910457}">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F26" dT="2026-09-14T16:33:13.88" personId="{E318F780-FD6E-4553-A307-152AE3F8479B}" id="{A6371CA5-F33F-4E53-87EA-AE3084CF521E}">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G26" dT="2026-09-14T16:33:13.88" personId="{E318F780-FD6E-4553-A307-152AE3F8479B}" id="{76F46779-58E4-4826-8D2E-530FEB1770C4}">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H26" dT="2026-09-14T16:33:13.88" personId="{E318F780-FD6E-4553-A307-152AE3F8479B}" id="{B0F7780E-A036-42B0-8AA7-8AA403D3E040}">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I26" dT="2026-09-14T16:33:13.88" personId="{E318F780-FD6E-4553-A307-152AE3F8479B}" id="{73DF9FF1-DFB3-499A-B10C-6FCE23A94B33}">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J26" dT="2026-09-14T16:33:13.88" personId="{E318F780-FD6E-4553-A307-152AE3F8479B}" id="{494DC3C8-2796-40DF-87DE-12190BA64EC8}">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K26" dT="2026-09-14T16:33:13.88" personId="{E318F780-FD6E-4553-A307-152AE3F8479B}" id="{135E8D6C-A270-49F7-940D-253A3407AF24}">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L26" dT="2026-09-14T16:32:36.76" personId="{E318F780-FD6E-4553-A307-152AE3F8479B}" id="{60F95891-594C-4F78-9F79-39DCDB7C8D7A}">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M26" dT="2026-09-14T16:33:13.88" personId="{E318F780-FD6E-4553-A307-152AE3F8479B}" id="{AC915DDC-F7C0-4167-AC50-32A951C85312}">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N26" dT="2026-09-14T16:33:13.88" personId="{E318F780-FD6E-4553-A307-152AE3F8479B}" id="{76F830D2-B112-4B9F-B1D6-F805C99922FC}">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O26" dT="2026-09-14T16:33:13.88" personId="{E318F780-FD6E-4553-A307-152AE3F8479B}" id="{95A7311D-FA8E-4B9A-A44F-37191726F4AF}">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P26" dT="2026-09-14T16:33:13.88" personId="{E318F780-FD6E-4553-A307-152AE3F8479B}" id="{F528DE82-9DF0-41E1-A733-4D68E425D096}">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Q26" dT="2026-09-14T16:33:13.88" personId="{E318F780-FD6E-4553-A307-152AE3F8479B}" id="{FEE1BAF1-EF62-4DD7-9137-0C95E2AC4C62}">
    <text>Implied annual rate on midpoint AUM, calculated from allocated quarterly fees. Published fund-level fee margins can differ because of flow timing, product mix, rounding and small non-AUM service income. This historical ratio is not an independently reported quarterly margin.</text>
  </threadedComment>
  <threadedComment ref="D27" dT="2026-09-14T16:33:13.88" personId="{E318F780-FD6E-4553-A307-152AE3F8479B}" id="{E7915B02-B609-4285-A7FC-092F241B45B5}">
    <text>Estimated quarter: allocate reported H1 net management fees using this quarter’s share of the half-year midpoint AUM. The two quarters exactly reconcile to the disclosed half-year total. Intraperiod flows and product mix are not independently observed.</text>
  </threadedComment>
  <threadedComment ref="E27" dT="2026-09-14T16:32:36.75" personId="{E318F780-FD6E-4553-A307-152AE3F8479B}" id="{FB22CC4A-6720-4A90-B232-13088DC2A665}">
    <text>Estimated quarter: allocate reported H1 net management fees using this quarter’s share of the half-year midpoint AUM. The two quarters exactly reconcile to the disclosed half-year total. Intraperiod flows and product mix are not independently observed.</text>
  </threadedComment>
  <threadedComment ref="F27" dT="2026-09-14T16:33:13.88" personId="{E318F780-FD6E-4553-A307-152AE3F8479B}" id="{9C8AC854-930F-418B-B10E-8D1DBCC191F2}">
    <text>Estimated quarter: allocate reported FY less H1 net management fees using this quarter’s share of the half-year midpoint AUM. The two quarters exactly reconcile to the disclosed half-year total. Intraperiod flows and product mix are not independently observed.</text>
  </threadedComment>
  <threadedComment ref="G27" dT="2026-09-14T16:33:13.88" personId="{E318F780-FD6E-4553-A307-152AE3F8479B}" id="{B460E999-37D1-4CD7-AFC2-4985710ACFD5}">
    <text>Estimated quarter: allocate reported FY less H1 net management fees using this quarter’s share of the half-year midpoint AUM. The two quarters exactly reconcile to the disclosed half-year total. Intraperiod flows and product mix are not independently observed.</text>
  </threadedComment>
  <threadedComment ref="H27" dT="2026-09-14T16:33:13.88" personId="{E318F780-FD6E-4553-A307-152AE3F8479B}" id="{FB19E5D7-1B4E-4A5B-86D7-B1AA23E5FCFC}">
    <text>Estimated quarter: allocate reported H1 net management fees using this quarter’s share of the half-year midpoint AUM. The two quarters exactly reconcile to the disclosed half-year total. Intraperiod flows and product mix are not independently observed.</text>
  </threadedComment>
  <threadedComment ref="I27" dT="2026-09-14T16:33:13.88" personId="{E318F780-FD6E-4553-A307-152AE3F8479B}" id="{9058BD93-430A-431B-886C-9A4F19BBA3D2}">
    <text>Estimated quarter: allocate reported H1 net management fees using this quarter’s share of the half-year midpoint AUM. The two quarters exactly reconcile to the disclosed half-year total. Intraperiod flows and product mix are not independently observed.</text>
  </threadedComment>
  <threadedComment ref="J27" dT="2026-09-14T16:33:13.88" personId="{E318F780-FD6E-4553-A307-152AE3F8479B}" id="{9C180493-AABB-4B91-A9AA-09B5F7627B98}">
    <text>Estimated quarter: allocate reported FY less H1 net management fees using this quarter’s share of the half-year midpoint AUM. The two quarters exactly reconcile to the disclosed half-year total. Intraperiod flows and product mix are not independently observed.</text>
  </threadedComment>
  <threadedComment ref="K27" dT="2026-09-14T16:33:13.88" personId="{E318F780-FD6E-4553-A307-152AE3F8479B}" id="{7122B149-84C7-4533-91A9-121B33BD2BB0}">
    <text>Estimated quarter: allocate reported FY less H1 net management fees using this quarter’s share of the half-year midpoint AUM. The two quarters exactly reconcile to the disclosed half-year total. Intraperiod flows and product mix are not independently observed.</text>
  </threadedComment>
  <threadedComment ref="L27" dT="2026-09-14T16:32:36.76" personId="{E318F780-FD6E-4553-A307-152AE3F8479B}" id="{F44AADBF-964B-460C-9322-ABC03A9EDB58}">
    <text>Estimated quarter: allocate reported H1 net management fees using this quarter’s share of the half-year midpoint AUM. The two quarters exactly reconcile to the disclosed half-year total. Intraperiod flows and product mix are not independently observed.</text>
  </threadedComment>
  <threadedComment ref="M27" dT="2026-09-14T16:33:13.88" personId="{E318F780-FD6E-4553-A307-152AE3F8479B}" id="{4B656B23-E729-4BDF-B8D2-EF6CB30D6154}">
    <text>Estimated quarter: allocate reported H1 net management fees using this quarter’s share of the half-year midpoint AUM. The two quarters exactly reconcile to the disclosed half-year total. Intraperiod flows and product mix are not independently observed.</text>
  </threadedComment>
  <threadedComment ref="N27" dT="2026-09-14T16:33:13.88" personId="{E318F780-FD6E-4553-A307-152AE3F8479B}" id="{06D771BB-DB19-4ADF-824D-A24BA63350FC}">
    <text>Estimated quarter: allocate reported FY less H1 net management fees using this quarter’s share of the half-year midpoint AUM. The two quarters exactly reconcile to the disclosed half-year total. Intraperiod flows and product mix are not independently observed.</text>
  </threadedComment>
  <threadedComment ref="O27" dT="2026-09-14T16:33:13.88" personId="{E318F780-FD6E-4553-A307-152AE3F8479B}" id="{49CF4BF3-4021-4AEF-A012-C64E67B39B5F}">
    <text>Estimated quarter: allocate reported FY less H1 net management fees using this quarter’s share of the half-year midpoint AUM. The two quarters exactly reconcile to the disclosed half-year total. Intraperiod flows and product mix are not independently observed.</text>
  </threadedComment>
  <threadedComment ref="P27" dT="2026-09-14T16:33:13.88" personId="{E318F780-FD6E-4553-A307-152AE3F8479B}" id="{92731F40-E21C-49DA-B050-60028E5158D4}">
    <text>Estimated quarter: allocate reported H1 net management fees using this quarter’s share of the half-year midpoint AUM. The two quarters exactly reconcile to the disclosed half-year total. Intraperiod flows and product mix are not independently observed.</text>
  </threadedComment>
  <threadedComment ref="Q27" dT="2026-09-14T16:33:13.88" personId="{E318F780-FD6E-4553-A307-152AE3F8479B}" id="{848EC7D1-27EF-4739-977E-AF9534B53769}">
    <text>Estimated quarter: allocate reported H1 net management fees using this quarter’s share of the half-year midpoint AUM. The two quarters exactly reconcile to the disclosed half-year total. Intraperiod flows and product mix are not independently observed.</text>
  </threadedComment>
  <threadedComment ref="R27" dT="2026-09-14T16:33:13.88" personId="{E318F780-FD6E-4553-A307-152AE3F8479B}" id="{77F513D3-29E2-4707-B412-DF96757AD4F9}">
    <text>Forecast revenue uses midpoint AUM × 56bp annual net fee margin × 0.25 × 1,000. The published blended margin incorporates immaterial other service income; no additional service-income stream is added. Distribution is already netted.</text>
  </threadedComment>
  <threadedComment ref="S27" dT="2026-09-14T16:33:13.88" personId="{E318F780-FD6E-4553-A307-152AE3F8479B}" id="{2CFEAE2F-9CC3-4F12-81E0-C9FAAF7448C0}">
    <text>Forecast revenue uses midpoint AUM × 56bp annual net fee margin × 0.25 × 1,000. The published blended margin incorporates immaterial other service income; no additional service-income stream is added. Distribution is already netted.</text>
  </threadedComment>
  <threadedComment ref="T27" dT="2026-09-14T16:32:36.77" personId="{E318F780-FD6E-4553-A307-152AE3F8479B}" id="{49F2188A-07C8-42EE-B103-7574446B6774}">
    <text>Forecast revenue uses midpoint AUM × 56bp annual net fee margin × 0.25 × 1,000. The published blended margin incorporates immaterial other service income; no additional service-income stream is added. Distribution is already netted.</text>
  </threadedComment>
  <threadedComment ref="U27" dT="2026-09-14T16:33:13.88" personId="{E318F780-FD6E-4553-A307-152AE3F8479B}" id="{8705414B-3BEF-4FFD-A063-8FEAF96952C3}">
    <text>Forecast revenue uses midpoint AUM × 56bp annual net fee margin × 0.25 × 1,000. The published blended margin incorporates immaterial other service income; no additional service-income stream is added. Distribution is already netted.</text>
  </threadedComment>
  <threadedComment ref="V27" dT="2026-09-14T16:33:13.88" personId="{E318F780-FD6E-4553-A307-152AE3F8479B}" id="{DFF262ED-6C1E-462D-930D-1700E90C6795}">
    <text>Forecast revenue uses midpoint AUM × 56bp annual net fee margin × 0.25 × 1,000. The published blended margin incorporates immaterial other service income; no additional service-income stream is added. Distribution is already netted.</text>
  </threadedComment>
  <threadedComment ref="W27" dT="2026-09-14T16:33:13.88" personId="{E318F780-FD6E-4553-A307-152AE3F8479B}" id="{53DCF9A0-A16B-4331-BF80-2648FD8A8FD8}">
    <text>Forecast revenue uses midpoint AUM × 56bp annual net fee margin × 0.25 × 1,000. The published blended margin incorporates immaterial other service income; no additional service-income stream is added. Distribution is already netted.</text>
  </threadedComment>
  <threadedComment ref="D28" dT="2026-09-14T16:33:13.88" personId="{E318F780-FD6E-4553-A307-152AE3F8479B}" id="{B28F53C0-486E-4323-9EA4-4239ECCB1D31}">
    <text>Estimated quarter: 10% of reported H1 performance fees under the editable allocation assumption. Includes earned carried interest where classified in this fee stream; no separate quarterly split is disclosed.</text>
  </threadedComment>
  <threadedComment ref="E28" dT="2026-09-14T16:32:36.75" personId="{E318F780-FD6E-4553-A307-152AE3F8479B}" id="{9816D617-9022-43F6-8D80-90CA65AB6A3C}">
    <text>Estimated quarter: 90% of reported H1 performance fees under the editable allocation assumption. Includes earned carried interest where classified in this fee stream; no separate quarterly split is disclosed.</text>
  </threadedComment>
  <threadedComment ref="F28" dT="2026-09-14T16:33:13.88" personId="{E318F780-FD6E-4553-A307-152AE3F8479B}" id="{6E52B917-909F-4B01-82CC-F53A3361CC00}">
    <text>Estimated quarter: 10% of reported FY less H1 performance fees under the editable allocation assumption. Includes earned carried interest where classified in this fee stream; no separate quarterly split is disclosed.</text>
  </threadedComment>
  <threadedComment ref="G28" dT="2026-09-14T16:33:13.88" personId="{E318F780-FD6E-4553-A307-152AE3F8479B}" id="{E0CA5B2D-58E4-4042-9D22-89F520C12D79}">
    <text>Estimated quarter: 90% of reported FY less H1 performance fees under the editable allocation assumption. Includes earned carried interest where classified in this fee stream; no separate quarterly split is disclosed.</text>
  </threadedComment>
  <threadedComment ref="H28" dT="2026-09-14T16:33:13.88" personId="{E318F780-FD6E-4553-A307-152AE3F8479B}" id="{852D9A22-5ED4-4297-B476-95E962AFBE14}">
    <text>Estimated quarter: 10% of reported H1 performance fees under the editable allocation assumption. Includes earned carried interest where classified in this fee stream; no separate quarterly split is disclosed.</text>
  </threadedComment>
  <threadedComment ref="I28" dT="2026-09-14T16:33:13.88" personId="{E318F780-FD6E-4553-A307-152AE3F8479B}" id="{7F4FAF32-8D8D-4DD7-AB86-CAD2AFB66E57}">
    <text>Estimated quarter: 90% of reported H1 performance fees under the editable allocation assumption. Includes earned carried interest where classified in this fee stream; no separate quarterly split is disclosed.</text>
  </threadedComment>
  <threadedComment ref="J28" dT="2026-09-14T16:33:13.88" personId="{E318F780-FD6E-4553-A307-152AE3F8479B}" id="{DC28E265-D571-4CE3-88AE-F1319DF25AB9}">
    <text>Estimated quarter: 10% of reported FY less H1 performance fees under the editable allocation assumption. Includes earned carried interest where classified in this fee stream; no separate quarterly split is disclosed.</text>
  </threadedComment>
  <threadedComment ref="K28" dT="2026-09-14T16:33:13.88" personId="{E318F780-FD6E-4553-A307-152AE3F8479B}" id="{82766DE5-8A90-485E-88AC-8C18E46C8E32}">
    <text>Estimated quarter: 90% of reported FY less H1 performance fees under the editable allocation assumption. Includes earned carried interest where classified in this fee stream; no separate quarterly split is disclosed.</text>
  </threadedComment>
  <threadedComment ref="L28" dT="2026-09-14T16:32:36.76" personId="{E318F780-FD6E-4553-A307-152AE3F8479B}" id="{996A2051-7D91-4685-B885-C14759D71C47}">
    <text>Estimated quarter: 10% of reported H1 performance fees under the editable allocation assumption. Includes earned carried interest where classified in this fee stream; no separate quarterly split is disclosed.</text>
  </threadedComment>
  <threadedComment ref="M28" dT="2026-09-14T16:33:13.88" personId="{E318F780-FD6E-4553-A307-152AE3F8479B}" id="{60F69169-1E74-44E0-967C-168C528EB13C}">
    <text>Estimated quarter: 90% of reported H1 performance fees under the editable allocation assumption. Includes earned carried interest where classified in this fee stream; no separate quarterly split is disclosed.</text>
  </threadedComment>
  <threadedComment ref="N28" dT="2026-09-14T16:33:13.88" personId="{E318F780-FD6E-4553-A307-152AE3F8479B}" id="{2018AB70-4E29-4DD6-8905-3F3A266C16A1}">
    <text>Estimated quarter: 10% of reported FY less H1 performance fees under the editable allocation assumption. Includes earned carried interest where classified in this fee stream; no separate quarterly split is disclosed.</text>
  </threadedComment>
  <threadedComment ref="O28" dT="2026-09-14T16:33:13.88" personId="{E318F780-FD6E-4553-A307-152AE3F8479B}" id="{FECCCA5B-FBEF-4ED7-A7CE-818B9B715666}">
    <text>Estimated quarter: 90% of reported FY less H1 performance fees under the editable allocation assumption. Includes earned carried interest where classified in this fee stream; no separate quarterly split is disclosed.</text>
  </threadedComment>
  <threadedComment ref="P28" dT="2026-09-14T16:33:13.88" personId="{E318F780-FD6E-4553-A307-152AE3F8479B}" id="{0A238D02-B5B2-481E-8E9A-1DB03A35A15D}">
    <text>Estimated quarter: 10% of reported H1 performance fees under the editable allocation assumption. Includes earned carried interest where classified in this fee stream; no separate quarterly split is disclosed.</text>
  </threadedComment>
  <threadedComment ref="Q28" dT="2026-09-14T16:33:13.88" personId="{E318F780-FD6E-4553-A307-152AE3F8479B}" id="{98F88CE0-B5FB-48CF-97EF-83E5721978DD}">
    <text>Estimated quarter: 90% of reported H1 performance fees under the editable allocation assumption. Includes earned carried interest where classified in this fee stream; no separate quarterly split is disclosed.</text>
  </threadedComment>
  <threadedComment ref="D29" dT="2026-09-14T16:33:13.88" personId="{E318F780-FD6E-4553-A307-152AE3F8479B}" id="{387C1376-44DE-4733-882C-7D153DA2E3A3}">
    <text>Estimated quarter: one-half of the H1 reported period flow. FY less H1 is used only for additive flows; costs shown as deductions.</text>
  </threadedComment>
  <threadedComment ref="E29" dT="2026-09-14T16:32:36.75" personId="{E318F780-FD6E-4553-A307-152AE3F8479B}" id="{0B9183E6-955A-4D5F-9D63-69147657C5EF}">
    <text>Estimated quarter: one-half of the H1 reported period flow. FY less H1 is used only for additive flows; costs shown as deductions.</text>
  </threadedComment>
  <threadedComment ref="F29" dT="2026-09-14T16:33:13.88" personId="{E318F780-FD6E-4553-A307-152AE3F8479B}" id="{B4DE6BC0-661B-400E-9A00-AFB7BA55A893}">
    <text>Estimated quarter: one-half of the FY less H1 reported period flow. FY less H1 is used only for additive flows; costs shown as deductions.</text>
  </threadedComment>
  <threadedComment ref="G29" dT="2026-09-14T16:33:13.88" personId="{E318F780-FD6E-4553-A307-152AE3F8479B}" id="{63A6945A-2160-4619-89C7-0DB4C638DD35}">
    <text>Estimated quarter: one-half of the FY less H1 reported period flow. FY less H1 is used only for additive flows; costs shown as deductions.</text>
  </threadedComment>
  <threadedComment ref="H29" dT="2026-09-14T16:33:13.88" personId="{E318F780-FD6E-4553-A307-152AE3F8479B}" id="{7EC18440-F69C-46A5-9F9C-F09755AB2C1C}">
    <text>Estimated quarter: one-half of the H1 reported period flow. FY less H1 is used only for additive flows; costs shown as deductions.</text>
  </threadedComment>
  <threadedComment ref="I29" dT="2026-09-14T16:33:13.88" personId="{E318F780-FD6E-4553-A307-152AE3F8479B}" id="{DF9DC8F2-5BD1-4FD2-AADB-7732C5CD8BE9}">
    <text>Estimated quarter: one-half of the H1 reported period flow. FY less H1 is used only for additive flows; costs shown as deductions.</text>
  </threadedComment>
  <threadedComment ref="J29" dT="2026-09-14T16:33:13.88" personId="{E318F780-FD6E-4553-A307-152AE3F8479B}" id="{C832E1B3-2654-4688-856A-456B2BD870EB}">
    <text>Estimated quarter: one-half of the FY less H1 reported period flow. FY less H1 is used only for additive flows; costs shown as deductions.</text>
  </threadedComment>
  <threadedComment ref="K29" dT="2026-09-14T16:33:13.88" personId="{E318F780-FD6E-4553-A307-152AE3F8479B}" id="{845C8A25-B55D-474B-9D95-8586253BE882}">
    <text>Estimated quarter: one-half of the FY less H1 reported period flow. FY less H1 is used only for additive flows; costs shown as deductions.</text>
  </threadedComment>
  <threadedComment ref="L29" dT="2026-09-14T16:32:36.76" personId="{E318F780-FD6E-4553-A307-152AE3F8479B}" id="{C9CE45F5-622D-4530-BF4D-D5D1FE0AAC67}">
    <text>Estimated quarter: one-half of the H1 reported period flow. FY less H1 is used only for additive flows; costs shown as deductions.</text>
  </threadedComment>
  <threadedComment ref="M29" dT="2026-09-14T16:33:13.88" personId="{E318F780-FD6E-4553-A307-152AE3F8479B}" id="{BE612031-8B71-46E1-A677-3948A2DD5DF6}">
    <text>Estimated quarter: one-half of the H1 reported period flow. FY less H1 is used only for additive flows; costs shown as deductions.</text>
  </threadedComment>
  <threadedComment ref="N29" dT="2026-09-14T16:33:13.88" personId="{E318F780-FD6E-4553-A307-152AE3F8479B}" id="{181FF860-3A88-4592-88AD-05DE35CE76F5}">
    <text>Estimated quarter: one-half of the FY less H1 reported period flow. FY less H1 is used only for additive flows; costs shown as deductions.</text>
  </threadedComment>
  <threadedComment ref="O29" dT="2026-09-14T16:33:13.88" personId="{E318F780-FD6E-4553-A307-152AE3F8479B}" id="{C2A2B71A-7EE4-43A9-A68C-97B0C465C984}">
    <text>Estimated quarter: one-half of the FY less H1 reported period flow. FY less H1 is used only for additive flows; costs shown as deductions.</text>
  </threadedComment>
  <threadedComment ref="P29" dT="2026-09-14T16:33:13.88" personId="{E318F780-FD6E-4553-A307-152AE3F8479B}" id="{FCD37828-12AE-4502-954E-85EAFDDAE799}">
    <text>Estimated quarter: one-half of the H1 reported period flow. FY less H1 is used only for additive flows; costs shown as deductions.</text>
  </threadedComment>
  <threadedComment ref="Q29" dT="2026-09-14T16:33:13.88" personId="{E318F780-FD6E-4553-A307-152AE3F8479B}" id="{74A1B556-4C20-4703-BBDC-A825C3DCA3DC}">
    <text>Estimated quarter: one-half of the H1 reported period flow. FY less H1 is used only for additive flows; costs shown as deductions.</text>
  </threadedComment>
  <threadedComment ref="D30" dT="2026-09-14T16:33:13.88" personId="{E318F780-FD6E-4553-A307-152AE3F8479B}" id="{C5E0A99D-292B-4CC3-BC82-F97CDC19E7AF}">
    <text>Estimated quarter: one-half of the H1 reported period flow. FY less H1 is used only for additive flows; costs shown as deductions.</text>
  </threadedComment>
  <threadedComment ref="E30" dT="2026-09-14T16:32:36.75" personId="{E318F780-FD6E-4553-A307-152AE3F8479B}" id="{4511C223-3D88-4324-943F-05DE5965E9EF}">
    <text>Estimated quarter: one-half of the H1 reported period flow. FY less H1 is used only for additive flows; costs shown as deductions.</text>
  </threadedComment>
  <threadedComment ref="F30" dT="2026-09-14T16:33:13.88" personId="{E318F780-FD6E-4553-A307-152AE3F8479B}" id="{F2B55574-73A0-4E99-8920-D1BE545CEADA}">
    <text>Estimated quarter: one-half of the FY less H1 reported period flow. FY less H1 is used only for additive flows; costs shown as deductions.</text>
  </threadedComment>
  <threadedComment ref="G30" dT="2026-09-14T16:33:13.88" personId="{E318F780-FD6E-4553-A307-152AE3F8479B}" id="{E3AA4A42-8EC5-48B7-9983-E3F1D1ED6532}">
    <text>Estimated quarter: one-half of the FY less H1 reported period flow. FY less H1 is used only for additive flows; costs shown as deductions.</text>
  </threadedComment>
  <threadedComment ref="H30" dT="2026-09-14T16:33:13.88" personId="{E318F780-FD6E-4553-A307-152AE3F8479B}" id="{DF7C1280-7242-4023-80F8-B1C236449BA9}">
    <text>Estimated quarter: one-half of the H1 reported period flow. FY less H1 is used only for additive flows; costs shown as deductions.</text>
  </threadedComment>
  <threadedComment ref="I30" dT="2026-09-14T16:33:13.88" personId="{E318F780-FD6E-4553-A307-152AE3F8479B}" id="{1A9D1B19-4DBE-42A0-A1BB-798F398907EA}">
    <text>Estimated quarter: one-half of the H1 reported period flow. FY less H1 is used only for additive flows; costs shown as deductions.</text>
  </threadedComment>
  <threadedComment ref="J30" dT="2026-09-14T16:33:13.88" personId="{E318F780-FD6E-4553-A307-152AE3F8479B}" id="{A10DA57A-3BAB-41C8-AA2B-2122630CC187}">
    <text>Estimated quarter: one-half of the FY less H1 reported period flow. FY less H1 is used only for additive flows; costs shown as deductions.</text>
  </threadedComment>
  <threadedComment ref="K30" dT="2026-09-14T16:33:13.88" personId="{E318F780-FD6E-4553-A307-152AE3F8479B}" id="{A14AC5B1-D683-41B4-9760-95995468839E}">
    <text>Estimated quarter: one-half of the FY less H1 reported period flow. FY less H1 is used only for additive flows; costs shown as deductions.</text>
  </threadedComment>
  <threadedComment ref="L30" dT="2026-09-14T16:32:36.76" personId="{E318F780-FD6E-4553-A307-152AE3F8479B}" id="{E6FDC7DB-84F2-4F89-B243-3103DDA89E98}">
    <text>Estimated quarter: one-half of the H1 reported period flow. FY less H1 is used only for additive flows; costs shown as deductions.</text>
  </threadedComment>
  <threadedComment ref="M30" dT="2026-09-14T16:33:13.88" personId="{E318F780-FD6E-4553-A307-152AE3F8479B}" id="{5FA5B884-9E53-42E0-8EE7-C8F751ECBEA0}">
    <text>Estimated quarter: one-half of the H1 reported period flow. FY less H1 is used only for additive flows; costs shown as deductions.</text>
  </threadedComment>
  <threadedComment ref="N30" dT="2026-09-14T16:33:13.88" personId="{E318F780-FD6E-4553-A307-152AE3F8479B}" id="{3FA8A3EB-D5A3-4B20-A182-B149E18CB7FD}">
    <text>Estimated quarter: one-half of the FY less H1 reported period flow. FY less H1 is used only for additive flows; costs shown as deductions.</text>
  </threadedComment>
  <threadedComment ref="O30" dT="2026-09-14T16:33:13.88" personId="{E318F780-FD6E-4553-A307-152AE3F8479B}" id="{394BE311-AC96-4C0A-8C2F-887C6002D72B}">
    <text>Estimated quarter: one-half of the FY less H1 reported period flow. FY less H1 is used only for additive flows; costs shown as deductions.</text>
  </threadedComment>
  <threadedComment ref="P30" dT="2026-09-14T16:33:13.88" personId="{E318F780-FD6E-4553-A307-152AE3F8479B}" id="{7D7275BD-80F8-4DE6-96B3-A9FE89EEA0CF}">
    <text>Estimated quarter: one-half of the H1 reported period flow. FY less H1 is used only for additive flows; costs shown as deductions.</text>
  </threadedComment>
  <threadedComment ref="Q30" dT="2026-09-14T16:33:13.88" personId="{E318F780-FD6E-4553-A307-152AE3F8479B}" id="{705C259E-8F78-428E-B61B-7E23E3ACC551}">
    <text>Estimated quarter: one-half of the H1 reported period flow. FY less H1 is used only for additive flows; costs shown as deductions.</text>
  </threadedComment>
  <threadedComment ref="D34" dT="2026-09-14T16:33:13.88" personId="{E318F780-FD6E-4553-A307-152AE3F8479B}" id="{0C7483C1-ACA7-4BED-97EA-643A5D854CBD}">
    <text>Estimated quarter: one-half of the H1 reported period flow. FY less H1 is used only for additive flows; costs shown as deductions.</text>
  </threadedComment>
  <threadedComment ref="E34" dT="2026-09-14T16:32:36.75" personId="{E318F780-FD6E-4553-A307-152AE3F8479B}" id="{4D5D516E-BFA3-4A7E-B630-20AFE0D4215D}">
    <text>Estimated quarter: one-half of the H1 reported period flow. FY less H1 is used only for additive flows; costs shown as deductions.</text>
  </threadedComment>
  <threadedComment ref="F34" dT="2026-09-14T16:33:13.88" personId="{E318F780-FD6E-4553-A307-152AE3F8479B}" id="{459AC59F-8298-4953-BC65-8DA104CDC31F}">
    <text>Estimated quarter: one-half of the FY less H1 reported period flow. FY less H1 is used only for additive flows; costs shown as deductions.</text>
  </threadedComment>
  <threadedComment ref="G34" dT="2026-09-14T16:33:13.88" personId="{E318F780-FD6E-4553-A307-152AE3F8479B}" id="{FFBD6B58-FA23-4D66-9523-85EC12DD399D}">
    <text>Estimated quarter: one-half of the FY less H1 reported period flow. FY less H1 is used only for additive flows; costs shown as deductions.</text>
  </threadedComment>
  <threadedComment ref="H34" dT="2026-09-14T16:33:13.88" personId="{E318F780-FD6E-4553-A307-152AE3F8479B}" id="{300D38E4-925C-44CB-8B98-07BF468177A7}">
    <text>Estimated quarter: one-half of the H1 reported period flow. FY less H1 is used only for additive flows; costs shown as deductions.</text>
  </threadedComment>
  <threadedComment ref="I34" dT="2026-09-14T16:33:13.88" personId="{E318F780-FD6E-4553-A307-152AE3F8479B}" id="{B28BC655-9591-4BC3-9BDE-5354C746FE95}">
    <text>Estimated quarter: one-half of the H1 reported period flow. FY less H1 is used only for additive flows; costs shown as deductions.</text>
  </threadedComment>
  <threadedComment ref="J34" dT="2026-09-14T16:33:13.88" personId="{E318F780-FD6E-4553-A307-152AE3F8479B}" id="{DCA8D290-6DD4-4005-89CA-7BDAD259278E}">
    <text>Estimated quarter: one-half of the FY less H1 reported period flow. FY less H1 is used only for additive flows; costs shown as deductions.</text>
  </threadedComment>
  <threadedComment ref="K34" dT="2026-09-14T16:33:13.88" personId="{E318F780-FD6E-4553-A307-152AE3F8479B}" id="{29124994-5B83-4587-9C01-08EA2561CC5E}">
    <text>Estimated quarter: one-half of the FY less H1 reported period flow. FY less H1 is used only for additive flows; costs shown as deductions.</text>
  </threadedComment>
  <threadedComment ref="L34" dT="2026-09-14T16:32:36.76" personId="{E318F780-FD6E-4553-A307-152AE3F8479B}" id="{3F5A6853-8DF5-4812-9AC0-795EAF07336A}">
    <text>Estimated quarter: one-half of the H1 reported period flow. FY less H1 is used only for additive flows; costs shown as deductions.</text>
  </threadedComment>
  <threadedComment ref="M34" dT="2026-09-14T16:33:13.88" personId="{E318F780-FD6E-4553-A307-152AE3F8479B}" id="{5B57672A-4620-425B-9BA1-6FD78DF3B9AA}">
    <text>Estimated quarter: one-half of the H1 reported period flow. FY less H1 is used only for additive flows; costs shown as deductions.</text>
  </threadedComment>
  <threadedComment ref="N34" dT="2026-09-14T16:33:13.88" personId="{E318F780-FD6E-4553-A307-152AE3F8479B}" id="{B100EF82-E684-464A-836C-7119DA64B9E1}">
    <text>Estimated quarter: one-half of the FY less H1 reported period flow. FY less H1 is used only for additive flows; costs shown as deductions.</text>
  </threadedComment>
  <threadedComment ref="O34" dT="2026-09-14T16:33:13.88" personId="{E318F780-FD6E-4553-A307-152AE3F8479B}" id="{CA61C48A-291F-4C6F-B1F8-58A03E711BE8}">
    <text>Estimated quarter: one-half of the FY less H1 reported period flow. FY less H1 is used only for additive flows; costs shown as deductions.</text>
  </threadedComment>
  <threadedComment ref="P34" dT="2026-09-14T16:33:13.88" personId="{E318F780-FD6E-4553-A307-152AE3F8479B}" id="{F28C6C7A-76C4-4BFA-B356-278551D0787E}">
    <text>Estimated quarter: one-half of the H1 reported period flow. FY less H1 is used only for additive flows; costs shown as deductions.</text>
  </threadedComment>
  <threadedComment ref="Q34" dT="2026-09-14T16:33:13.88" personId="{E318F780-FD6E-4553-A307-152AE3F8479B}" id="{44466051-0B5B-4BAB-8107-2CFECE3F5498}">
    <text>Estimated quarter: one-half of the H1 reported period flow. FY less H1 is used only for additive flows; costs shown as deductions.</text>
  </threadedComment>
  <threadedComment ref="D35" dT="2026-09-14T16:33:13.88" personId="{E318F780-FD6E-4553-A307-152AE3F8479B}" id="{3BFE885A-F293-47EC-87AC-F97A23291813}">
    <text>Estimated quarter: allocate H1 period costs by midpoint AUM share. Management variable compensation is disclosed management-fee compensation less disclosed fixed compensation.</text>
  </threadedComment>
  <threadedComment ref="E35" dT="2026-09-14T16:32:36.75" personId="{E318F780-FD6E-4553-A307-152AE3F8479B}" id="{6BF2C1D8-FDC3-4F6C-A213-AD6F79D805F0}">
    <text>Estimated quarter: allocate H1 period costs by midpoint AUM share. Management variable compensation is disclosed management-fee compensation less disclosed fixed compensation.</text>
  </threadedComment>
  <threadedComment ref="F35" dT="2026-09-14T16:33:13.88" personId="{E318F780-FD6E-4553-A307-152AE3F8479B}" id="{FCB945FC-1D22-40D8-9FEC-10543EC0859C}">
    <text>Estimated quarter: allocate FY less H1 period costs by midpoint AUM share. Management variable compensation is disclosed management-fee compensation less disclosed fixed compensation.</text>
  </threadedComment>
  <threadedComment ref="G35" dT="2026-09-14T16:33:13.88" personId="{E318F780-FD6E-4553-A307-152AE3F8479B}" id="{F6DB4947-A6BF-4EF4-A5A1-3FC6F8213885}">
    <text>Estimated quarter: allocate FY less H1 period costs by midpoint AUM share. Management variable compensation is disclosed management-fee compensation less disclosed fixed compensation.</text>
  </threadedComment>
  <threadedComment ref="H35" dT="2026-09-14T16:33:13.88" personId="{E318F780-FD6E-4553-A307-152AE3F8479B}" id="{D441C1B3-C4C1-433F-8780-7124C582132A}">
    <text>Estimated quarter: allocate H1 period costs by midpoint AUM share. Management variable compensation is disclosed management-fee compensation less disclosed fixed compensation.</text>
  </threadedComment>
  <threadedComment ref="I35" dT="2026-09-14T16:33:13.88" personId="{E318F780-FD6E-4553-A307-152AE3F8479B}" id="{8EB4E56E-7752-4001-A88E-5EF61A6982CF}">
    <text>Estimated quarter: allocate H1 period costs by midpoint AUM share. Management variable compensation is disclosed management-fee compensation less disclosed fixed compensation.</text>
  </threadedComment>
  <threadedComment ref="J35" dT="2026-09-14T16:33:13.88" personId="{E318F780-FD6E-4553-A307-152AE3F8479B}" id="{25467E83-2EE4-4D03-9C57-CC801D4C9A69}">
    <text>Estimated quarter: allocate FY less H1 period costs by midpoint AUM share. Management variable compensation is disclosed management-fee compensation less disclosed fixed compensation.</text>
  </threadedComment>
  <threadedComment ref="K35" dT="2026-09-14T16:33:13.88" personId="{E318F780-FD6E-4553-A307-152AE3F8479B}" id="{24D82B9B-80D4-414F-B947-D190283E8F12}">
    <text>Estimated quarter: allocate FY less H1 period costs by midpoint AUM share. Management variable compensation is disclosed management-fee compensation less disclosed fixed compensation.</text>
  </threadedComment>
  <threadedComment ref="L35" dT="2026-09-14T16:32:36.76" personId="{E318F780-FD6E-4553-A307-152AE3F8479B}" id="{2A276CAC-48D2-4A05-A67B-BDF497A01974}">
    <text>Estimated quarter: allocate H1 period costs by midpoint AUM share. Management variable compensation is disclosed management-fee compensation less disclosed fixed compensation.</text>
  </threadedComment>
  <threadedComment ref="M35" dT="2026-09-14T16:33:13.88" personId="{E318F780-FD6E-4553-A307-152AE3F8479B}" id="{949CD26B-9B55-4D6C-8106-20715CBE53D5}">
    <text>Estimated quarter: allocate H1 period costs by midpoint AUM share. Management variable compensation is disclosed management-fee compensation less disclosed fixed compensation.</text>
  </threadedComment>
  <threadedComment ref="N35" dT="2026-09-14T16:33:13.88" personId="{E318F780-FD6E-4553-A307-152AE3F8479B}" id="{E9D35F43-1D40-43A6-9215-EBBBB2F69E79}">
    <text>Estimated quarter: allocate FY less H1 period costs by midpoint AUM share. Management variable compensation is disclosed management-fee compensation less disclosed fixed compensation.</text>
  </threadedComment>
  <threadedComment ref="O35" dT="2026-09-14T16:33:13.88" personId="{E318F780-FD6E-4553-A307-152AE3F8479B}" id="{2C22667C-38DE-459F-94A4-F5E01151AB1F}">
    <text>Estimated quarter: allocate FY less H1 period costs by midpoint AUM share. Management variable compensation is disclosed management-fee compensation less disclosed fixed compensation.</text>
  </threadedComment>
  <threadedComment ref="P35" dT="2026-09-14T16:33:13.88" personId="{E318F780-FD6E-4553-A307-152AE3F8479B}" id="{4DA5C470-45DA-4DFD-B474-1E0556F79DF2}">
    <text>Estimated quarter: allocate H1 period costs by midpoint AUM share. Management variable compensation is disclosed management-fee compensation less disclosed fixed compensation.</text>
  </threadedComment>
  <threadedComment ref="Q35" dT="2026-09-14T16:33:13.88" personId="{E318F780-FD6E-4553-A307-152AE3F8479B}" id="{28465B0C-95AD-45AC-B426-AEE0E871063A}">
    <text>Estimated quarter: allocate H1 period costs by midpoint AUM share. Management variable compensation is disclosed management-fee compensation less disclosed fixed compensation.</text>
  </threadedComment>
  <threadedComment ref="D36" dT="2026-09-14T16:33:13.88" personId="{E318F780-FD6E-4553-A307-152AE3F8479B}" id="{69A424DE-5ECA-402A-A31E-7C3205CADF9C}">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E36" dT="2026-09-14T16:32:36.75" personId="{E318F780-FD6E-4553-A307-152AE3F8479B}" id="{C8DD3865-59BA-4776-8FF0-31713684651B}">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F36" dT="2026-09-14T16:33:13.88" personId="{E318F780-FD6E-4553-A307-152AE3F8479B}" id="{462286B0-EABB-48D7-8E4E-09C54901E22F}">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G36" dT="2026-09-14T16:33:13.88" personId="{E318F780-FD6E-4553-A307-152AE3F8479B}" id="{F0CF19B1-2051-4B7D-8178-BD3BA8D72671}">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H36" dT="2026-09-14T16:33:13.88" personId="{E318F780-FD6E-4553-A307-152AE3F8479B}" id="{22962F43-7F69-464C-B2C5-A782B78AF582}">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I36" dT="2026-09-14T16:33:13.88" personId="{E318F780-FD6E-4553-A307-152AE3F8479B}" id="{35912F44-22DF-4D4F-9A8F-44719D6442F4}">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J36" dT="2026-09-14T16:33:13.88" personId="{E318F780-FD6E-4553-A307-152AE3F8479B}" id="{51901AEE-6B95-40B9-84F2-1449984262AD}">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K36" dT="2026-09-14T16:33:13.88" personId="{E318F780-FD6E-4553-A307-152AE3F8479B}" id="{D698E4FF-ABD8-4867-8859-BDF60EAC2E27}">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L36" dT="2026-09-14T16:32:36.76" personId="{E318F780-FD6E-4553-A307-152AE3F8479B}" id="{B5C73332-99E5-44F1-9D90-8BE2FA2768BC}">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M36" dT="2026-09-14T16:33:13.88" personId="{E318F780-FD6E-4553-A307-152AE3F8479B}" id="{6EC716FB-D4F7-43D7-A722-F09C95823E81}">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N36" dT="2026-09-14T16:33:13.88" personId="{E318F780-FD6E-4553-A307-152AE3F8479B}" id="{9BCB135D-6DE0-4BC1-857A-B6144E59B952}">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O36" dT="2026-09-14T16:33:13.88" personId="{E318F780-FD6E-4553-A307-152AE3F8479B}" id="{9D3ABD58-530A-42E0-BCA6-835AD3E69734}">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P36" dT="2026-09-14T16:33:13.88" personId="{E318F780-FD6E-4553-A307-152AE3F8479B}" id="{294A057F-B2EB-49A5-989E-A70F3664562B}">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Q36" dT="2026-09-14T16:33:13.88" personId="{E318F780-FD6E-4553-A307-152AE3F8479B}" id="{A34E647E-368B-421A-AEA5-E8496DA8B539}">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D37" dT="2026-09-14T16:33:13.88" personId="{E318F780-FD6E-4553-A307-152AE3F8479B}" id="{45A025C7-A302-4455-B237-01C187B904A9}">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E37" dT="2026-09-14T16:32:36.75" personId="{E318F780-FD6E-4553-A307-152AE3F8479B}" id="{CF49B1CB-6DF2-4E2C-8924-6B1DC2340628}">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F37" dT="2026-09-14T16:33:13.88" personId="{E318F780-FD6E-4553-A307-152AE3F8479B}" id="{6790A9AD-D0BC-4EB2-8119-BAE38FCC0C21}">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G37" dT="2026-09-14T16:33:13.88" personId="{E318F780-FD6E-4553-A307-152AE3F8479B}" id="{D55F79A6-E2F1-4B1E-B129-1145D6940F74}">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H37" dT="2026-09-14T16:33:13.88" personId="{E318F780-FD6E-4553-A307-152AE3F8479B}" id="{9A87CC3F-6C40-4384-A6AF-C433E8B3A842}">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I37" dT="2026-09-14T16:33:13.88" personId="{E318F780-FD6E-4553-A307-152AE3F8479B}" id="{7F8A5ABC-3A07-40CB-B2A7-8879E5837C86}">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J37" dT="2026-09-14T16:33:13.88" personId="{E318F780-FD6E-4553-A307-152AE3F8479B}" id="{9C7B7306-970A-4E87-B3EB-8EC273D57188}">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K37" dT="2026-09-14T16:33:13.88" personId="{E318F780-FD6E-4553-A307-152AE3F8479B}" id="{92474FAA-CCD1-4DD9-A22F-F5DA99DAC083}">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L37" dT="2026-09-14T16:32:36.76" personId="{E318F780-FD6E-4553-A307-152AE3F8479B}" id="{5505FAB5-EB4B-4DD8-92C4-0E6286E0B4F6}">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M37" dT="2026-09-14T16:33:13.88" personId="{E318F780-FD6E-4553-A307-152AE3F8479B}" id="{C065CC3D-7C8B-43E0-958E-8611D9523BAF}">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N37" dT="2026-09-14T16:33:13.88" personId="{E318F780-FD6E-4553-A307-152AE3F8479B}" id="{45E017D5-4DB8-412C-A582-FF611FDE7F5E}">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O37" dT="2026-09-14T16:33:13.88" personId="{E318F780-FD6E-4553-A307-152AE3F8479B}" id="{5AACE94D-B5C0-4EC9-9AE5-868B38F312A6}">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P37" dT="2026-09-14T16:33:13.88" personId="{E318F780-FD6E-4553-A307-152AE3F8479B}" id="{BCEB6555-9DA6-4ED5-9E66-187B7597362A}">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Q37" dT="2026-09-14T16:33:13.88" personId="{E318F780-FD6E-4553-A307-152AE3F8479B}" id="{16695CDC-EDD6-483D-9C7A-B76F4504A457}">
    <text>Estimated attribution: half-year performance-fee compensation is allocated between fee revenue and seed gains in proportion to those revenue streams. Quarterly amounts follow each stream’s allocated revenue and sum to the reported half-year compensation.</text>
  </threadedComment>
  <threadedComment ref="D39" dT="2026-09-14T16:33:13.88" personId="{E318F780-FD6E-4553-A307-152AE3F8479B}" id="{49A3A87E-B4BC-4713-80B4-CC2E11BC2D35}">
    <text>Estimated quarter: allocate H1 period costs by midpoint AUM share. Management variable compensation is disclosed management-fee compensation less disclosed fixed compensation.</text>
  </threadedComment>
  <threadedComment ref="E39" dT="2026-09-14T16:32:36.75" personId="{E318F780-FD6E-4553-A307-152AE3F8479B}" id="{6D978448-B6E1-4779-BBDC-054D8DFEF20B}">
    <text>Estimated quarter: allocate H1 period costs by midpoint AUM share. Management variable compensation is disclosed management-fee compensation less disclosed fixed compensation.</text>
  </threadedComment>
  <threadedComment ref="F39" dT="2026-09-14T16:33:13.88" personId="{E318F780-FD6E-4553-A307-152AE3F8479B}" id="{0E19887B-3CBD-423E-B90D-6A4A4B8BEEFE}">
    <text>Estimated quarter: allocate FY less H1 period costs by midpoint AUM share. Management variable compensation is disclosed management-fee compensation less disclosed fixed compensation.</text>
  </threadedComment>
  <threadedComment ref="G39" dT="2026-09-14T16:33:13.88" personId="{E318F780-FD6E-4553-A307-152AE3F8479B}" id="{16E58226-23D1-42FD-9C6D-BB38C0DD1C28}">
    <text>Estimated quarter: allocate FY less H1 period costs by midpoint AUM share. Management variable compensation is disclosed management-fee compensation less disclosed fixed compensation.</text>
  </threadedComment>
  <threadedComment ref="H39" dT="2026-09-14T16:33:13.88" personId="{E318F780-FD6E-4553-A307-152AE3F8479B}" id="{77CCEABB-DDF6-40E3-B071-D0ED4F22F913}">
    <text>Estimated quarter: allocate H1 period costs by midpoint AUM share. Management variable compensation is disclosed management-fee compensation less disclosed fixed compensation.</text>
  </threadedComment>
  <threadedComment ref="I39" dT="2026-09-14T16:33:13.88" personId="{E318F780-FD6E-4553-A307-152AE3F8479B}" id="{BD756519-690D-428A-95B8-19DBD0092C90}">
    <text>Estimated quarter: allocate H1 period costs by midpoint AUM share. Management variable compensation is disclosed management-fee compensation less disclosed fixed compensation.</text>
  </threadedComment>
  <threadedComment ref="J39" dT="2026-09-14T16:33:13.88" personId="{E318F780-FD6E-4553-A307-152AE3F8479B}" id="{FE31C41C-9F6F-4648-ABC2-9C1C2F0503E9}">
    <text>Estimated quarter: allocate FY less H1 period costs by midpoint AUM share. Management variable compensation is disclosed management-fee compensation less disclosed fixed compensation.</text>
  </threadedComment>
  <threadedComment ref="K39" dT="2026-09-14T16:33:13.88" personId="{E318F780-FD6E-4553-A307-152AE3F8479B}" id="{C8054085-F8EC-4AB9-BD9B-299B4EDCCFF4}">
    <text>Estimated quarter: allocate FY less H1 period costs by midpoint AUM share. Management variable compensation is disclosed management-fee compensation less disclosed fixed compensation.</text>
  </threadedComment>
  <threadedComment ref="L39" dT="2026-09-14T16:32:36.76" personId="{E318F780-FD6E-4553-A307-152AE3F8479B}" id="{E7D9DD3E-4B74-47EB-B84F-2883DF0B065E}">
    <text>Estimated quarter: allocate H1 period costs by midpoint AUM share. Management variable compensation is disclosed management-fee compensation less disclosed fixed compensation.</text>
  </threadedComment>
  <threadedComment ref="M39" dT="2026-09-14T16:33:13.88" personId="{E318F780-FD6E-4553-A307-152AE3F8479B}" id="{5C045C40-226D-4AE8-B240-FFF39FA00DDB}">
    <text>Estimated quarter: allocate H1 period costs by midpoint AUM share. Management variable compensation is disclosed management-fee compensation less disclosed fixed compensation.</text>
  </threadedComment>
  <threadedComment ref="N39" dT="2026-09-14T16:33:13.88" personId="{E318F780-FD6E-4553-A307-152AE3F8479B}" id="{3975EF12-93C2-406F-8016-FD1B2EDA04C0}">
    <text>Estimated quarter: allocate FY less H1 period costs by midpoint AUM share. Management variable compensation is disclosed management-fee compensation less disclosed fixed compensation.</text>
  </threadedComment>
  <threadedComment ref="O39" dT="2026-09-14T16:33:13.88" personId="{E318F780-FD6E-4553-A307-152AE3F8479B}" id="{B01B3E09-907D-4221-996B-2B75FDAFD7C8}">
    <text>Estimated quarter: allocate FY less H1 period costs by midpoint AUM share. Management variable compensation is disclosed management-fee compensation less disclosed fixed compensation.</text>
  </threadedComment>
  <threadedComment ref="P39" dT="2026-09-14T16:33:13.88" personId="{E318F780-FD6E-4553-A307-152AE3F8479B}" id="{4ACC3201-EDA5-45EE-BADC-A30B0CCE9BA4}">
    <text>Estimated quarter: allocate H1 period costs by midpoint AUM share. Management variable compensation is disclosed management-fee compensation less disclosed fixed compensation.</text>
  </threadedComment>
  <threadedComment ref="Q39" dT="2026-09-14T16:33:13.88" personId="{E318F780-FD6E-4553-A307-152AE3F8479B}" id="{50087561-1B31-4946-8A2B-814239F6F598}">
    <text>Estimated quarter: allocate H1 period costs by midpoint AUM share. Management variable compensation is disclosed management-fee compensation less disclosed fixed compensation.</text>
  </threadedComment>
  <threadedComment ref="D40" dT="2026-09-14T16:33:13.88" personId="{E318F780-FD6E-4553-A307-152AE3F8479B}" id="{D19D49E1-EF3D-4B6F-9779-B4F70369FA4C}">
    <text>Estimated quarter: one-half of the H1 reported period flow. FY less H1 is used only for additive flows; costs shown as deductions.</text>
  </threadedComment>
  <threadedComment ref="E40" dT="2026-09-14T16:32:36.75" personId="{E318F780-FD6E-4553-A307-152AE3F8479B}" id="{F83B69D2-66BE-41A0-B454-02167939DBD9}">
    <text>Estimated quarter: one-half of the H1 reported period flow. FY less H1 is used only for additive flows; costs shown as deductions.</text>
  </threadedComment>
  <threadedComment ref="F40" dT="2026-09-14T16:33:13.88" personId="{E318F780-FD6E-4553-A307-152AE3F8479B}" id="{09F3D790-AC3F-4143-983A-1B60A14BD342}">
    <text>Estimated quarter: one-half of the FY less H1 reported period flow. FY less H1 is used only for additive flows; costs shown as deductions.</text>
  </threadedComment>
  <threadedComment ref="G40" dT="2026-09-14T16:33:13.88" personId="{E318F780-FD6E-4553-A307-152AE3F8479B}" id="{8E4976D2-06AE-410B-B574-A6EB6F76F718}">
    <text>Estimated quarter: one-half of the FY less H1 reported period flow. FY less H1 is used only for additive flows; costs shown as deductions.</text>
  </threadedComment>
  <threadedComment ref="H40" dT="2026-09-14T16:33:13.88" personId="{E318F780-FD6E-4553-A307-152AE3F8479B}" id="{ADD9F071-F4C9-412A-A065-2FDA79C757F9}">
    <text>Estimated quarter: one-half of the H1 reported period flow. FY less H1 is used only for additive flows; costs shown as deductions.</text>
  </threadedComment>
  <threadedComment ref="I40" dT="2026-09-14T16:33:13.88" personId="{E318F780-FD6E-4553-A307-152AE3F8479B}" id="{5EEDC709-998C-419B-B053-65BD93A8EB6B}">
    <text>Estimated quarter: one-half of the H1 reported period flow. FY less H1 is used only for additive flows; costs shown as deductions.</text>
  </threadedComment>
  <threadedComment ref="J40" dT="2026-09-14T16:33:13.88" personId="{E318F780-FD6E-4553-A307-152AE3F8479B}" id="{223CD6F7-2A53-465E-88BC-B937FE5009DE}">
    <text>Estimated quarter: one-half of the FY less H1 reported period flow. FY less H1 is used only for additive flows; costs shown as deductions.</text>
  </threadedComment>
  <threadedComment ref="K40" dT="2026-09-14T16:33:13.88" personId="{E318F780-FD6E-4553-A307-152AE3F8479B}" id="{F4E48961-6865-4004-BFAA-3E8B1AD7E5BE}">
    <text>Estimated quarter: one-half of the FY less H1 reported period flow. FY less H1 is used only for additive flows; costs shown as deductions.</text>
  </threadedComment>
  <threadedComment ref="L40" dT="2026-09-14T16:32:36.76" personId="{E318F780-FD6E-4553-A307-152AE3F8479B}" id="{FB73BB6A-E2C4-464B-A0E5-84DA3C62688F}">
    <text>Estimated quarter: one-half of the H1 reported period flow. FY less H1 is used only for additive flows; costs shown as deductions.</text>
  </threadedComment>
  <threadedComment ref="M40" dT="2026-09-14T16:33:13.88" personId="{E318F780-FD6E-4553-A307-152AE3F8479B}" id="{D1988D8A-49A2-4A96-8A84-0F22F362CC2D}">
    <text>Estimated quarter: one-half of the H1 reported period flow. FY less H1 is used only for additive flows; costs shown as deductions.</text>
  </threadedComment>
  <threadedComment ref="N40" dT="2026-09-14T16:33:13.88" personId="{E318F780-FD6E-4553-A307-152AE3F8479B}" id="{081F17D0-4855-4B76-BD8D-34E3F9747514}">
    <text>Estimated quarter: one-half of the FY less H1 reported period flow. FY less H1 is used only for additive flows; costs shown as deductions.</text>
  </threadedComment>
  <threadedComment ref="O40" dT="2026-09-14T16:33:13.88" personId="{E318F780-FD6E-4553-A307-152AE3F8479B}" id="{CDD103D8-732D-45CD-A6FF-1F1BFB91E1E7}">
    <text>Estimated quarter: one-half of the FY less H1 reported period flow. FY less H1 is used only for additive flows; costs shown as deductions.</text>
  </threadedComment>
  <threadedComment ref="P40" dT="2026-09-14T16:33:13.88" personId="{E318F780-FD6E-4553-A307-152AE3F8479B}" id="{68957FF4-E76F-44B3-998B-484FFB19D68B}">
    <text>Estimated quarter: one-half of the H1 reported period flow. FY less H1 is used only for additive flows; costs shown as deductions.</text>
  </threadedComment>
  <threadedComment ref="Q40" dT="2026-09-14T16:33:13.88" personId="{E318F780-FD6E-4553-A307-152AE3F8479B}" id="{F086696B-6333-4CD5-94E6-F8AE39E3ED72}">
    <text>Estimated quarter: one-half of the H1 reported period flow. FY less H1 is used only for additive flows; costs shown as deductions.</text>
  </threadedComment>
  <threadedComment ref="D41" dT="2026-09-14T16:33:13.88" personId="{E318F780-FD6E-4553-A307-152AE3F8479B}" id="{A599715B-AFC1-4611-90AA-3AB75564906F}">
    <text>Estimated quarter: one-half of the H1 reported period flow. FY less H1 is used only for additive flows; costs shown as deductions.</text>
  </threadedComment>
  <threadedComment ref="E41" dT="2026-09-14T16:32:36.75" personId="{E318F780-FD6E-4553-A307-152AE3F8479B}" id="{C6C114A3-E0DE-4158-9FAD-0D91CAC75230}">
    <text>Estimated quarter: one-half of the H1 reported period flow. FY less H1 is used only for additive flows; costs shown as deductions.</text>
  </threadedComment>
  <threadedComment ref="F41" dT="2026-09-14T16:33:13.88" personId="{E318F780-FD6E-4553-A307-152AE3F8479B}" id="{318D12C9-2DF5-450A-B905-37B46E5301C1}">
    <text>Estimated quarter: one-half of the FY less H1 reported period flow. FY less H1 is used only for additive flows; costs shown as deductions.</text>
  </threadedComment>
  <threadedComment ref="G41" dT="2026-09-14T16:33:13.88" personId="{E318F780-FD6E-4553-A307-152AE3F8479B}" id="{3CA6FF1D-79BA-4C37-B81C-1EC093A51C9A}">
    <text>Estimated quarter: one-half of the FY less H1 reported period flow. FY less H1 is used only for additive flows; costs shown as deductions.</text>
  </threadedComment>
  <threadedComment ref="H41" dT="2026-09-14T16:33:13.88" personId="{E318F780-FD6E-4553-A307-152AE3F8479B}" id="{2E65B9DA-BE0B-4F30-AD0A-2B51366AB4B3}">
    <text>Estimated quarter: one-half of the H1 reported period flow. FY less H1 is used only for additive flows; costs shown as deductions.</text>
  </threadedComment>
  <threadedComment ref="I41" dT="2026-09-14T16:33:13.88" personId="{E318F780-FD6E-4553-A307-152AE3F8479B}" id="{DC49D7BF-9595-45BB-B1F6-255825F2776A}">
    <text>Estimated quarter: one-half of the H1 reported period flow. FY less H1 is used only for additive flows; costs shown as deductions.</text>
  </threadedComment>
  <threadedComment ref="J41" dT="2026-09-14T16:33:13.88" personId="{E318F780-FD6E-4553-A307-152AE3F8479B}" id="{DA271FC7-6EE2-4FF7-84A0-699887C7F3BE}">
    <text>Estimated quarter: one-half of the FY less H1 reported period flow. FY less H1 is used only for additive flows; costs shown as deductions.</text>
  </threadedComment>
  <threadedComment ref="K41" dT="2026-09-14T16:33:13.88" personId="{E318F780-FD6E-4553-A307-152AE3F8479B}" id="{5BC24D08-D566-4AA8-980D-752A4B6A2AAA}">
    <text>Estimated quarter: one-half of the FY less H1 reported period flow. FY less H1 is used only for additive flows; costs shown as deductions.</text>
  </threadedComment>
  <threadedComment ref="L41" dT="2026-09-14T16:32:36.76" personId="{E318F780-FD6E-4553-A307-152AE3F8479B}" id="{807DA047-08C5-40B4-B2B9-63D65F45AA05}">
    <text>Estimated quarter: one-half of the H1 reported period flow. FY less H1 is used only for additive flows; costs shown as deductions.</text>
  </threadedComment>
  <threadedComment ref="M41" dT="2026-09-14T16:33:13.88" personId="{E318F780-FD6E-4553-A307-152AE3F8479B}" id="{5E484B58-9597-40C3-8178-BD1AFBFD0335}">
    <text>Estimated quarter: one-half of the H1 reported period flow. FY less H1 is used only for additive flows; costs shown as deductions.</text>
  </threadedComment>
  <threadedComment ref="N41" dT="2026-09-14T16:33:13.88" personId="{E318F780-FD6E-4553-A307-152AE3F8479B}" id="{78488241-8595-4161-B028-EDC9F6C680E1}">
    <text>Estimated quarter: one-half of the FY less H1 reported period flow. FY less H1 is used only for additive flows; costs shown as deductions.</text>
  </threadedComment>
  <threadedComment ref="O41" dT="2026-09-14T16:33:13.88" personId="{E318F780-FD6E-4553-A307-152AE3F8479B}" id="{72A4469B-7E36-4587-B4DC-95B447B30EA6}">
    <text>Estimated quarter: one-half of the FY less H1 reported period flow. FY less H1 is used only for additive flows; costs shown as deductions.</text>
  </threadedComment>
  <threadedComment ref="P41" dT="2026-09-14T16:33:13.88" personId="{E318F780-FD6E-4553-A307-152AE3F8479B}" id="{93E616F8-78C8-4A10-81DD-D7F24DDA5D3F}">
    <text>Estimated quarter: one-half of the H1 reported period flow. FY less H1 is used only for additive flows; costs shown as deductions.</text>
  </threadedComment>
  <threadedComment ref="Q41" dT="2026-09-14T16:33:13.88" personId="{E318F780-FD6E-4553-A307-152AE3F8479B}" id="{8CB863C3-FDD7-4F07-9C54-7AC28CC6720B}">
    <text>Estimated quarter: one-half of the H1 reported period flow. FY less H1 is used only for additive flows; costs shown as deductions.</text>
  </threadedComment>
  <threadedComment ref="D47" dT="2026-09-14T16:33:13.88" personId="{E318F780-FD6E-4553-A307-152AE3F8479B}" id="{5A03A68A-1A66-49B8-856E-D03CE858BC68}">
    <text>Estimated quarter: one-half of the H1 reported period flow. FY less H1 is used only for additive flows; costs shown as deductions.</text>
  </threadedComment>
  <threadedComment ref="E47" dT="2026-09-14T16:32:36.75" personId="{E318F780-FD6E-4553-A307-152AE3F8479B}" id="{E4F43060-4890-427D-B781-16719DE54AE8}">
    <text>Estimated quarter: one-half of the H1 reported period flow. FY less H1 is used only for additive flows; costs shown as deductions.</text>
  </threadedComment>
  <threadedComment ref="F47" dT="2026-09-14T16:33:13.88" personId="{E318F780-FD6E-4553-A307-152AE3F8479B}" id="{D62A10FD-618C-43D1-AF53-F367779CA08B}">
    <text>Estimated quarter: one-half of the FY less H1 reported period flow. FY less H1 is used only for additive flows; costs shown as deductions.</text>
  </threadedComment>
  <threadedComment ref="G47" dT="2026-09-14T16:33:13.88" personId="{E318F780-FD6E-4553-A307-152AE3F8479B}" id="{A1F5150F-48DB-4A2B-81B8-180B1CDC407A}">
    <text>Estimated quarter: one-half of the FY less H1 reported period flow. FY less H1 is used only for additive flows; costs shown as deductions.</text>
  </threadedComment>
  <threadedComment ref="H47" dT="2026-09-14T16:33:13.88" personId="{E318F780-FD6E-4553-A307-152AE3F8479B}" id="{029AE716-B296-436D-81FB-5DCE370A1393}">
    <text>Estimated quarter: one-half of the H1 reported period flow. FY less H1 is used only for additive flows; costs shown as deductions.</text>
  </threadedComment>
  <threadedComment ref="I47" dT="2026-09-14T16:33:13.88" personId="{E318F780-FD6E-4553-A307-152AE3F8479B}" id="{9BE2AE95-A067-4708-A409-98521F4D337F}">
    <text>Estimated quarter: one-half of the H1 reported period flow. FY less H1 is used only for additive flows; costs shown as deductions.</text>
  </threadedComment>
  <threadedComment ref="J47" dT="2026-09-14T16:33:13.88" personId="{E318F780-FD6E-4553-A307-152AE3F8479B}" id="{2AA3A845-A93D-4F8B-94A5-5477CD4973D1}">
    <text>Estimated quarter: one-half of the FY less H1 reported period flow. FY less H1 is used only for additive flows; costs shown as deductions.</text>
  </threadedComment>
  <threadedComment ref="K47" dT="2026-09-14T16:33:13.88" personId="{E318F780-FD6E-4553-A307-152AE3F8479B}" id="{3AA896BB-07A6-4150-B26F-0179ABA548F2}">
    <text>Estimated quarter: one-half of the FY less H1 reported period flow. FY less H1 is used only for additive flows; costs shown as deductions.</text>
  </threadedComment>
  <threadedComment ref="L47" dT="2026-09-14T16:32:36.76" personId="{E318F780-FD6E-4553-A307-152AE3F8479B}" id="{5D7BA8AB-9A0C-41B1-AABF-3637FE88C18E}">
    <text>Estimated quarter: one-half of the H1 reported period flow. FY less H1 is used only for additive flows; costs shown as deductions.</text>
  </threadedComment>
  <threadedComment ref="M47" dT="2026-09-14T16:33:13.88" personId="{E318F780-FD6E-4553-A307-152AE3F8479B}" id="{112E7F0D-F55B-474E-B9B0-587C565B6051}">
    <text>Estimated quarter: one-half of the H1 reported period flow. FY less H1 is used only for additive flows; costs shown as deductions.</text>
  </threadedComment>
  <threadedComment ref="N47" dT="2026-09-14T16:33:13.88" personId="{E318F780-FD6E-4553-A307-152AE3F8479B}" id="{3555CB75-9578-4800-899C-8A52732A9802}">
    <text>Estimated quarter: one-half of the FY less H1 reported period flow. FY less H1 is used only for additive flows; costs shown as deductions.</text>
  </threadedComment>
  <threadedComment ref="O47" dT="2026-09-14T16:33:13.88" personId="{E318F780-FD6E-4553-A307-152AE3F8479B}" id="{CE245484-AD31-4872-9871-0FA764816F44}">
    <text>Estimated quarter: one-half of the FY less H1 reported period flow. FY less H1 is used only for additive flows; costs shown as deductions.</text>
  </threadedComment>
  <threadedComment ref="P47" dT="2026-09-14T16:33:13.88" personId="{E318F780-FD6E-4553-A307-152AE3F8479B}" id="{3837451C-9A87-49DB-A884-4D28BD37513E}">
    <text>Estimated quarter: one-half of the H1 reported period flow. FY less H1 is used only for additive flows; costs shown as deductions.</text>
  </threadedComment>
  <threadedComment ref="Q47" dT="2026-09-14T16:33:13.88" personId="{E318F780-FD6E-4553-A307-152AE3F8479B}" id="{4432397F-914F-4065-8F02-30302910C068}">
    <text>Estimated quarter: one-half of the H1 reported period flow. FY less H1 is used only for additive flows; costs shown as deductions.</text>
  </threadedComment>
  <threadedComment ref="D48" dT="2026-09-14T16:33:13.88" personId="{E318F780-FD6E-4553-A307-152AE3F8479B}" id="{0A076546-AFD0-463A-80A3-0B41C13792DE}">
    <text>Estimated quarter: one-half of the H1 reported period flow. FY less H1 is used only for additive flows; costs shown as deductions.</text>
  </threadedComment>
  <threadedComment ref="E48" dT="2026-09-14T16:32:36.75" personId="{E318F780-FD6E-4553-A307-152AE3F8479B}" id="{014EF8F3-4198-4C8E-AC6D-0B88349A2D38}">
    <text>Estimated quarter: one-half of the H1 reported period flow. FY less H1 is used only for additive flows; costs shown as deductions.</text>
  </threadedComment>
  <threadedComment ref="F48" dT="2026-09-14T16:33:13.88" personId="{E318F780-FD6E-4553-A307-152AE3F8479B}" id="{731CAFF8-970F-4CD2-B8E9-1C6BDB9A3F82}">
    <text>Estimated quarter: one-half of the FY less H1 reported period flow. FY less H1 is used only for additive flows; costs shown as deductions.</text>
  </threadedComment>
  <threadedComment ref="G48" dT="2026-09-14T16:33:13.88" personId="{E318F780-FD6E-4553-A307-152AE3F8479B}" id="{924146ED-524B-4D8A-A9C5-06C8544F06DA}">
    <text>Estimated quarter: one-half of the FY less H1 reported period flow. FY less H1 is used only for additive flows; costs shown as deductions.</text>
  </threadedComment>
  <threadedComment ref="H48" dT="2026-09-14T16:33:13.88" personId="{E318F780-FD6E-4553-A307-152AE3F8479B}" id="{7BC92919-D730-49BE-83B0-36F4B0584123}">
    <text>Estimated quarter: one-half of the H1 reported period flow. FY less H1 is used only for additive flows; costs shown as deductions.</text>
  </threadedComment>
  <threadedComment ref="I48" dT="2026-09-14T16:33:13.88" personId="{E318F780-FD6E-4553-A307-152AE3F8479B}" id="{E9460093-E0E4-416B-925B-F7E7CCF75355}">
    <text>Estimated quarter: one-half of the H1 reported period flow. FY less H1 is used only for additive flows; costs shown as deductions.</text>
  </threadedComment>
  <threadedComment ref="J48" dT="2026-09-14T16:33:13.88" personId="{E318F780-FD6E-4553-A307-152AE3F8479B}" id="{66DA6B32-075E-46E5-BC11-EEC709448F8F}">
    <text>Estimated quarter: one-half of the FY less H1 reported period flow. FY less H1 is used only for additive flows; costs shown as deductions.</text>
  </threadedComment>
  <threadedComment ref="K48" dT="2026-09-14T16:33:13.88" personId="{E318F780-FD6E-4553-A307-152AE3F8479B}" id="{F884D813-77D6-437B-B77C-599E9FACC56A}">
    <text>Estimated quarter: one-half of the FY less H1 reported period flow. FY less H1 is used only for additive flows; costs shown as deductions.</text>
  </threadedComment>
  <threadedComment ref="L48" dT="2026-09-14T16:32:36.76" personId="{E318F780-FD6E-4553-A307-152AE3F8479B}" id="{5F3837CE-DE37-46A4-986B-87365491BA3F}">
    <text>Estimated quarter: one-half of the H1 reported period flow. FY less H1 is used only for additive flows; costs shown as deductions.</text>
  </threadedComment>
  <threadedComment ref="M48" dT="2026-09-14T16:33:13.88" personId="{E318F780-FD6E-4553-A307-152AE3F8479B}" id="{06FAFE1E-E641-4B60-8752-35AFB51C9833}">
    <text>Estimated quarter: one-half of the H1 reported period flow. FY less H1 is used only for additive flows; costs shown as deductions.</text>
  </threadedComment>
  <threadedComment ref="N48" dT="2026-09-14T16:33:13.88" personId="{E318F780-FD6E-4553-A307-152AE3F8479B}" id="{37CF17DE-86A2-43B3-A98C-00C62E5D097E}">
    <text>Estimated quarter: one-half of the FY less H1 reported period flow. FY less H1 is used only for additive flows; costs shown as deductions.</text>
  </threadedComment>
  <threadedComment ref="O48" dT="2026-09-14T16:33:13.88" personId="{E318F780-FD6E-4553-A307-152AE3F8479B}" id="{1213D623-7F55-4468-8A69-776B58398B31}">
    <text>Estimated quarter: one-half of the FY less H1 reported period flow. FY less H1 is used only for additive flows; costs shown as deductions.</text>
  </threadedComment>
  <threadedComment ref="P48" dT="2026-09-14T16:33:13.88" personId="{E318F780-FD6E-4553-A307-152AE3F8479B}" id="{6D15FD18-B863-459F-ABB4-784956A344E3}">
    <text>Estimated quarter: one-half of the H1 reported period flow. FY less H1 is used only for additive flows; costs shown as deductions.</text>
  </threadedComment>
  <threadedComment ref="Q48" dT="2026-09-14T16:33:13.88" personId="{E318F780-FD6E-4553-A307-152AE3F8479B}" id="{8B0315EB-E984-4BBB-8E7E-F28AB5A1EE50}">
    <text>Estimated quarter: one-half of the H1 reported period flow. FY less H1 is used only for additive flows; costs shown as deductions.</text>
  </threadedComment>
  <threadedComment ref="D49" dT="2026-09-14T16:33:13.88" personId="{E318F780-FD6E-4553-A307-152AE3F8479B}" id="{B6898A44-295B-40D5-A0B5-33EC0B4BD504}">
    <text>Estimated quarter: one-half of the H1 reported period flow. FY less H1 is used only for additive flows; costs shown as deductions.</text>
  </threadedComment>
  <threadedComment ref="E49" dT="2026-09-14T16:32:36.75" personId="{E318F780-FD6E-4553-A307-152AE3F8479B}" id="{03E695AA-0615-44C9-9CC8-4AA490F1F7D0}">
    <text>Estimated quarter: one-half of the H1 reported period flow. FY less H1 is used only for additive flows; costs shown as deductions.</text>
  </threadedComment>
  <threadedComment ref="F49" dT="2026-09-14T16:33:13.88" personId="{E318F780-FD6E-4553-A307-152AE3F8479B}" id="{5F773C1A-0A50-4D9F-A142-A5DCAA1F5EEB}">
    <text>Estimated quarter: one-half of the FY less H1 reported period flow. FY less H1 is used only for additive flows; costs shown as deductions.</text>
  </threadedComment>
  <threadedComment ref="G49" dT="2026-09-14T16:33:13.88" personId="{E318F780-FD6E-4553-A307-152AE3F8479B}" id="{8BA39D09-9E93-4CFB-8EB7-A676CB208FAC}">
    <text>Estimated quarter: one-half of the FY less H1 reported period flow. FY less H1 is used only for additive flows; costs shown as deductions.</text>
  </threadedComment>
  <threadedComment ref="H49" dT="2026-09-14T16:33:13.88" personId="{E318F780-FD6E-4553-A307-152AE3F8479B}" id="{3C4F5E00-058C-4558-8950-EEE8976338C8}">
    <text>Estimated quarter: one-half of the H1 reported period flow. FY less H1 is used only for additive flows; costs shown as deductions.</text>
  </threadedComment>
  <threadedComment ref="I49" dT="2026-09-14T16:33:13.88" personId="{E318F780-FD6E-4553-A307-152AE3F8479B}" id="{1C44ED5C-6560-4070-A1B5-26BE391C57FE}">
    <text>Estimated quarter: one-half of the H1 reported period flow. FY less H1 is used only for additive flows; costs shown as deductions.</text>
  </threadedComment>
  <threadedComment ref="J49" dT="2026-09-14T16:33:13.88" personId="{E318F780-FD6E-4553-A307-152AE3F8479B}" id="{53AD38D2-A43A-4E1B-9556-D9E4A3D37FF7}">
    <text>Estimated quarter: one-half of the FY less H1 reported period flow. FY less H1 is used only for additive flows; costs shown as deductions.</text>
  </threadedComment>
  <threadedComment ref="K49" dT="2026-09-14T16:33:13.88" personId="{E318F780-FD6E-4553-A307-152AE3F8479B}" id="{66537D2E-22B7-412A-A1D6-DF21A913F5F0}">
    <text>Estimated quarter: one-half of the FY less H1 reported period flow. FY less H1 is used only for additive flows; costs shown as deductions.</text>
  </threadedComment>
  <threadedComment ref="L49" dT="2026-09-14T16:32:36.76" personId="{E318F780-FD6E-4553-A307-152AE3F8479B}" id="{BE2CA243-998A-4FBD-9704-EC8EF30A5B11}">
    <text>Estimated quarter: one-half of the H1 reported period flow. FY less H1 is used only for additive flows; costs shown as deductions.</text>
  </threadedComment>
  <threadedComment ref="M49" dT="2026-09-14T16:33:13.88" personId="{E318F780-FD6E-4553-A307-152AE3F8479B}" id="{A8E62CB2-5401-4628-B9DC-E45E245794A5}">
    <text>Estimated quarter: one-half of the H1 reported period flow. FY less H1 is used only for additive flows; costs shown as deductions.</text>
  </threadedComment>
  <threadedComment ref="N49" dT="2026-09-14T16:33:13.88" personId="{E318F780-FD6E-4553-A307-152AE3F8479B}" id="{D4A66783-BDCA-4E52-8076-64BE2A887D01}">
    <text>Estimated quarter: one-half of the FY less H1 reported period flow. FY less H1 is used only for additive flows; costs shown as deductions.</text>
  </threadedComment>
  <threadedComment ref="O49" dT="2026-09-14T16:33:13.88" personId="{E318F780-FD6E-4553-A307-152AE3F8479B}" id="{E10AEF70-B57C-45F0-A153-7BEE69F073C4}">
    <text>Estimated quarter: one-half of the FY less H1 reported period flow. FY less H1 is used only for additive flows; costs shown as deductions.</text>
  </threadedComment>
  <threadedComment ref="P49" dT="2026-09-14T16:33:13.88" personId="{E318F780-FD6E-4553-A307-152AE3F8479B}" id="{B2E00C37-DC23-4E9D-A8E0-DE330E933FE1}">
    <text>Estimated quarter: one-half of the H1 reported period flow. FY less H1 is used only for additive flows; costs shown as deductions.</text>
  </threadedComment>
  <threadedComment ref="Q49" dT="2026-09-14T16:33:13.88" personId="{E318F780-FD6E-4553-A307-152AE3F8479B}" id="{AE54757D-6564-4902-B6CC-95628505924F}">
    <text>Estimated quarter: one-half of the H1 reported period flow. FY less H1 is used only for additive flows; costs shown as deductions.</text>
  </threadedComment>
  <threadedComment ref="D54" dT="2026-09-14T16:33:13.88" personId="{E318F780-FD6E-4553-A307-152AE3F8479B}" id="{B78C9333-008F-41F2-A88E-3367654748F4}">
    <text>Estimated quarterly tax at the reported half-year core tax / PBT ratio. Quarter taxes sum to the reported half-year tax; a loss quarter receives a tax benefit at this rate.</text>
  </threadedComment>
  <threadedComment ref="E54" dT="2026-09-14T16:32:36.75" personId="{E318F780-FD6E-4553-A307-152AE3F8479B}" id="{152DFBC7-F7D1-4EF7-923E-5DF47FAA91DF}">
    <text>Estimated quarterly tax at the reported half-year core tax / PBT ratio. Quarter taxes sum to the reported half-year tax; a loss quarter receives a tax benefit at this rate.</text>
  </threadedComment>
  <threadedComment ref="F54" dT="2026-09-14T16:33:13.88" personId="{E318F780-FD6E-4553-A307-152AE3F8479B}" id="{E625DB85-58A5-4868-857A-E97001D4A710}">
    <text>Estimated quarterly tax at the reported half-year core tax / PBT ratio. Quarter taxes sum to the reported half-year tax; a loss quarter receives a tax benefit at this rate.</text>
  </threadedComment>
  <threadedComment ref="G54" dT="2026-09-14T16:33:13.88" personId="{E318F780-FD6E-4553-A307-152AE3F8479B}" id="{413DA3AA-FC10-4F1E-BDDC-C15FE91C820D}">
    <text>Estimated quarterly tax at the reported half-year core tax / PBT ratio. Quarter taxes sum to the reported half-year tax; a loss quarter receives a tax benefit at this rate.</text>
  </threadedComment>
  <threadedComment ref="H54" dT="2026-09-14T16:33:13.88" personId="{E318F780-FD6E-4553-A307-152AE3F8479B}" id="{F16DC8F0-E6CD-4C13-B292-F6843B6DCB83}">
    <text>Estimated quarterly tax at the reported half-year core tax / PBT ratio. Quarter taxes sum to the reported half-year tax; a loss quarter receives a tax benefit at this rate.</text>
  </threadedComment>
  <threadedComment ref="I54" dT="2026-09-14T16:33:13.88" personId="{E318F780-FD6E-4553-A307-152AE3F8479B}" id="{B5DC30D1-A13D-4E29-96F6-00B82A2919D4}">
    <text>Estimated quarterly tax at the reported half-year core tax / PBT ratio. Quarter taxes sum to the reported half-year tax; a loss quarter receives a tax benefit at this rate.</text>
  </threadedComment>
  <threadedComment ref="J54" dT="2026-09-14T16:33:13.88" personId="{E318F780-FD6E-4553-A307-152AE3F8479B}" id="{F61B8255-FF08-472E-92C9-1F030351337D}">
    <text>Estimated quarterly tax at the reported half-year core tax / PBT ratio. Quarter taxes sum to the reported half-year tax; a loss quarter receives a tax benefit at this rate.</text>
  </threadedComment>
  <threadedComment ref="K54" dT="2026-09-14T16:33:13.88" personId="{E318F780-FD6E-4553-A307-152AE3F8479B}" id="{7FF679BB-0C23-4A38-A425-BE909870ED73}">
    <text>Estimated quarterly tax at the reported half-year core tax / PBT ratio. Quarter taxes sum to the reported half-year tax; a loss quarter receives a tax benefit at this rate.</text>
  </threadedComment>
  <threadedComment ref="L54" dT="2026-09-14T16:32:36.76" personId="{E318F780-FD6E-4553-A307-152AE3F8479B}" id="{57873556-87E6-4FBF-88A7-F9A7EF5BB2C9}">
    <text>Estimated quarterly tax at the reported half-year core tax / PBT ratio. Quarter taxes sum to the reported half-year tax; a loss quarter receives a tax benefit at this rate.</text>
  </threadedComment>
  <threadedComment ref="M54" dT="2026-09-14T16:33:13.88" personId="{E318F780-FD6E-4553-A307-152AE3F8479B}" id="{A88C84E0-2145-45AE-88D7-457FE0E36D32}">
    <text>Estimated quarterly tax at the reported half-year core tax / PBT ratio. Quarter taxes sum to the reported half-year tax; a loss quarter receives a tax benefit at this rate.</text>
  </threadedComment>
  <threadedComment ref="N54" dT="2026-09-14T16:33:13.88" personId="{E318F780-FD6E-4553-A307-152AE3F8479B}" id="{EE3FEDA5-899F-420D-9210-E533A1EF25CF}">
    <text>Estimated quarterly tax at the reported half-year core tax / PBT ratio. Quarter taxes sum to the reported half-year tax; a loss quarter receives a tax benefit at this rate.</text>
  </threadedComment>
  <threadedComment ref="O54" dT="2026-09-14T16:33:13.88" personId="{E318F780-FD6E-4553-A307-152AE3F8479B}" id="{A186E7C5-FD90-4D22-98A0-7B5E93B34857}">
    <text>Estimated quarterly tax at the reported half-year core tax / PBT ratio. Quarter taxes sum to the reported half-year tax; a loss quarter receives a tax benefit at this rate.</text>
  </threadedComment>
  <threadedComment ref="P54" dT="2026-09-14T16:33:13.88" personId="{E318F780-FD6E-4553-A307-152AE3F8479B}" id="{6033BB9B-B540-44EF-A39D-9594D284CCCA}">
    <text>Estimated quarterly tax at the reported half-year core tax / PBT ratio. Quarter taxes sum to the reported half-year tax; a loss quarter receives a tax benefit at this rate.</text>
  </threadedComment>
  <threadedComment ref="Q54" dT="2026-09-14T16:33:13.88" personId="{E318F780-FD6E-4553-A307-152AE3F8479B}" id="{FC87AC73-D92B-4273-9F35-3930BE914532}">
    <text>Estimated quarterly tax at the reported half-year core tax / PBT ratio. Quarter taxes sum to the reported half-year tax; a loss quarter receives a tax benefit at this rate.</text>
  </threadedComment>
  <threadedComment ref="D56" dT="2026-09-14T16:33:13.88" personId="{E318F780-FD6E-4553-A307-152AE3F8479B}" id="{156E0F3F-E4A2-4265-8D53-54647D535365}">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E56" dT="2026-09-14T16:32:36.75" personId="{E318F780-FD6E-4553-A307-152AE3F8479B}" id="{F973729E-AF08-4502-8670-9CEB98BF1559}">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F56" dT="2026-09-14T16:33:13.88" personId="{E318F780-FD6E-4553-A307-152AE3F8479B}" id="{A4B3A89C-41BB-4C7C-BD33-8D91459C2877}">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G56" dT="2026-09-14T16:33:13.88" personId="{E318F780-FD6E-4553-A307-152AE3F8479B}" id="{E04BDA13-A609-4891-BC3F-A04D362698A9}">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H56" dT="2026-09-14T16:33:13.88" personId="{E318F780-FD6E-4553-A307-152AE3F8479B}" id="{FEA675C8-FEBC-4F81-8647-D11B5F41B247}">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I56" dT="2026-09-14T16:33:13.88" personId="{E318F780-FD6E-4553-A307-152AE3F8479B}" id="{C55823B2-8A01-46D4-9F45-F86E1327DA3C}">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J56" dT="2026-09-14T16:33:13.88" personId="{E318F780-FD6E-4553-A307-152AE3F8479B}" id="{5E459B48-EB88-4D7B-8014-FC171CD2C629}">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K56" dT="2026-09-14T16:33:13.88" personId="{E318F780-FD6E-4553-A307-152AE3F8479B}" id="{FE4780C8-0FA3-4E65-B512-A63E428E653B}">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L56" dT="2026-09-14T16:32:36.76" personId="{E318F780-FD6E-4553-A307-152AE3F8479B}" id="{8DBC353D-1472-4F27-9FF7-BA591C9F7CF3}">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M56" dT="2026-09-14T16:33:13.88" personId="{E318F780-FD6E-4553-A307-152AE3F8479B}" id="{C402A3AF-D222-412C-9165-1A7E52EE084B}">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N56" dT="2026-09-14T16:33:13.88" personId="{E318F780-FD6E-4553-A307-152AE3F8479B}" id="{60CADF10-C8AF-4720-A9B1-B4B7BDB554AB}">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O56" dT="2026-09-14T16:33:13.88" personId="{E318F780-FD6E-4553-A307-152AE3F8479B}" id="{38573C07-5392-4907-AB3E-AA3EAD840652}">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P56" dT="2026-09-14T16:33:13.88" personId="{E318F780-FD6E-4553-A307-152AE3F8479B}" id="{5FC212DD-37E3-416E-AF65-43D24F3CC390}">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 ref="Q56" dT="2026-09-14T16:33:13.88" personId="{E318F780-FD6E-4553-A307-152AE3F8479B}" id="{6681CE9D-31CB-4C96-B8B5-C257B81121FF}">
    <text>Quarterly shares are estimated flat within each half-year. H1 uses the disclosed diluted weighted average; H2 is inferred from the day-weighted FY average and H1 average. EPS is recalculated from profit and shares, never inferred by subtracting EPS.</text>
  </threadedComment>
</ThreadedComments>
</file>

<file path=xl/threadedComments/threadedComment3.xml><?xml version="1.0" encoding="utf-8"?>
<ThreadedComments xmlns="http://schemas.microsoft.com/office/spreadsheetml/2018/threadedcomments" xmlns:x="http://schemas.openxmlformats.org/spreadsheetml/2006/main">
  <threadedComment ref="F14" dT="2026-09-14T16:33:13.88" personId="{E318F780-FD6E-4553-A307-152AE3F8479B}" id="{5B28245C-6916-43F8-9366-B300F28ECD63}">
    <text>Varagon added $10.8bn fee-paying AUM in Q3 2023. Asteria was also acquired in 2023, but no separate material AUM amount is used. Source: FY2023 financial review and Q3 AUM bridge.</text>
  </threadedComment>
  <threadedComment ref="O14" dT="2026-09-14T16:33:13.88" personId="{E318F780-FD6E-4553-A307-152AE3F8479B}" id="{59997010-A740-460A-A09C-FB9740706C2C}">
    <text>Bardin Hill completed 1 October 2025 and added $2.7bn. Remove this from the disclosed combined other bucket to avoid double counting. Source: FY2025 financial review.</text>
  </threadedComment>
  <threadedComment ref="J23" dT="2026-09-14T16:33:13.88" personId="{E318F780-FD6E-4553-A307-152AE3F8479B}" id="{83E9B1B0-D07B-430E-B6A5-5B11FA51F851}">
    <text>Core performance fees exclude $19m of pass-through gross-up in H1 2026. Related compensation of $18m is also removed from core costs. The $1m net reclassification is excluded consistently with company core PBT. Carried interest is included in performance fees where earned; no separately disclosed earned carried-interest series is available.</text>
  </threadedComment>
  <threadedComment ref="I27" dT="2026-09-14T16:33:13.88" personId="{E318F780-FD6E-4553-A307-152AE3F8479B}" id="{4D73E011-4F2F-4537-86C5-9F9A5E128611}">
    <text>FY2025 fixed compensation $274m is disclosed in note 6.1. Statutory variable compensation $433m includes $32m of non-core charges; core total compensation is $675m, so core variable compensation is $401m. The model separately uses the disclosed management/performance split of $481m/$194m.</text>
  </threadedComment>
  <threadedComment ref="D45" dT="2026-09-14T16:33:13.88" personId="{E318F780-FD6E-4553-A307-152AE3F8479B}" id="{3221CA3B-36E4-48E7-87C2-057DABF5CFA5}">
    <text>n/d means no aggregate realised average fee margin was located in the H1 release. Run-rate margins are different metrics and are not substituted.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8344B"/>
  </sheetPr>
  <dimension ref="A1:W100"/>
  <sheetViews>
    <sheetView showGridLines="0" tabSelected="1" workbookViewId="0">
      <selection activeCell="C2" sqref="C2"/>
    </sheetView>
  </sheetViews>
  <sheetFormatPr baseColWidth="10" defaultColWidth="8.83203125" defaultRowHeight="14"/>
  <cols>
    <col min="1" max="2" width="2" customWidth="1"/>
    <col min="3" max="3" width="48" customWidth="1"/>
    <col min="4" max="23" width="13" customWidth="1"/>
  </cols>
  <sheetData>
    <row r="1" spans="1:23" ht="19" customHeight="1">
      <c r="A1" s="2"/>
      <c r="B1" s="2"/>
      <c r="C1" s="2"/>
      <c r="D1" s="3"/>
      <c r="E1" s="3"/>
      <c r="F1" s="3"/>
      <c r="G1" s="3"/>
      <c r="H1" s="3"/>
      <c r="I1" s="3"/>
      <c r="J1" s="3"/>
      <c r="K1" s="3"/>
      <c r="L1" s="3"/>
      <c r="M1" s="3"/>
      <c r="N1" s="3"/>
      <c r="O1" s="3"/>
      <c r="P1" s="3"/>
      <c r="Q1" s="3"/>
      <c r="R1" s="3"/>
      <c r="S1" s="3"/>
      <c r="T1" s="3"/>
      <c r="U1" s="3"/>
      <c r="V1" s="3"/>
      <c r="W1" s="3"/>
    </row>
    <row r="2" spans="1:23" ht="19" customHeight="1">
      <c r="A2" s="2"/>
      <c r="B2" s="2"/>
      <c r="C2" s="4" t="s">
        <v>0</v>
      </c>
      <c r="D2" s="3"/>
      <c r="E2" s="3"/>
      <c r="F2" s="3"/>
      <c r="G2" s="3"/>
      <c r="H2" s="3"/>
      <c r="I2" s="3"/>
      <c r="J2" s="3"/>
      <c r="K2" s="3"/>
      <c r="L2" s="3"/>
      <c r="M2" s="3"/>
      <c r="N2" s="3"/>
      <c r="O2" s="3"/>
      <c r="P2" s="3"/>
      <c r="Q2" s="3"/>
      <c r="R2" s="3"/>
      <c r="S2" s="3"/>
      <c r="T2" s="3"/>
      <c r="U2" s="3"/>
      <c r="V2" s="3"/>
      <c r="W2" s="3"/>
    </row>
    <row r="3" spans="1:23" ht="19" customHeight="1">
      <c r="A3" s="2"/>
      <c r="B3" s="2"/>
      <c r="C3" s="5"/>
      <c r="D3" s="6"/>
      <c r="E3" s="6"/>
      <c r="F3" s="6"/>
      <c r="G3" s="6"/>
      <c r="H3" s="6"/>
      <c r="I3" s="6"/>
      <c r="J3" s="6"/>
      <c r="K3" s="6"/>
      <c r="L3" s="3"/>
      <c r="M3" s="3"/>
      <c r="N3" s="3"/>
      <c r="O3" s="3"/>
      <c r="P3" s="3"/>
      <c r="Q3" s="3"/>
      <c r="R3" s="3"/>
      <c r="S3" s="3"/>
      <c r="T3" s="3"/>
      <c r="U3" s="3"/>
      <c r="V3" s="3"/>
      <c r="W3" s="3"/>
    </row>
    <row r="4" spans="1:23" ht="19" customHeight="1">
      <c r="A4" s="2"/>
      <c r="B4" s="2"/>
      <c r="C4" s="2" t="s">
        <v>1</v>
      </c>
      <c r="D4" s="8" t="str">
        <f>Assumptions!$E$4</f>
        <v>Base</v>
      </c>
      <c r="E4" s="9"/>
      <c r="F4" s="10"/>
      <c r="G4" s="3"/>
      <c r="H4" s="3"/>
      <c r="I4" s="3"/>
      <c r="J4" s="3"/>
      <c r="K4" s="3"/>
      <c r="L4" s="3"/>
      <c r="M4" s="3"/>
      <c r="N4" s="3"/>
      <c r="O4" s="3"/>
      <c r="P4" s="3"/>
      <c r="Q4" s="3"/>
      <c r="R4" s="3"/>
      <c r="S4" s="3"/>
      <c r="T4" s="3"/>
      <c r="U4" s="3"/>
      <c r="V4" s="3"/>
      <c r="W4" s="3"/>
    </row>
    <row r="5" spans="1:23" ht="19" customHeight="1">
      <c r="A5" s="2"/>
      <c r="B5" s="2"/>
      <c r="C5" s="2" t="s">
        <v>2</v>
      </c>
      <c r="D5" s="3"/>
      <c r="E5" s="3"/>
      <c r="F5" s="3"/>
      <c r="G5" s="3"/>
      <c r="H5" s="3"/>
      <c r="I5" s="3"/>
      <c r="J5" s="3"/>
      <c r="K5" s="3"/>
      <c r="L5" s="3"/>
      <c r="M5" s="3"/>
      <c r="N5" s="3"/>
      <c r="O5" s="3"/>
      <c r="P5" s="3"/>
      <c r="Q5" s="3"/>
      <c r="R5" s="3"/>
      <c r="S5" s="3"/>
      <c r="T5" s="3"/>
      <c r="U5" s="3"/>
      <c r="V5" s="3"/>
      <c r="W5" s="3"/>
    </row>
    <row r="6" spans="1:23" ht="19" customHeight="1">
      <c r="A6" s="2"/>
      <c r="B6" s="2"/>
      <c r="C6" s="2"/>
      <c r="D6" s="3"/>
      <c r="E6" s="3"/>
      <c r="F6" s="3"/>
      <c r="G6" s="3"/>
      <c r="H6" s="3"/>
      <c r="I6" s="3"/>
      <c r="J6" s="3"/>
      <c r="K6" s="3"/>
      <c r="L6" s="3"/>
      <c r="M6" s="3"/>
      <c r="N6" s="3"/>
      <c r="O6" s="3"/>
      <c r="P6" s="3"/>
      <c r="Q6" s="3"/>
      <c r="R6" s="3"/>
      <c r="S6" s="3"/>
      <c r="T6" s="3"/>
      <c r="U6" s="3"/>
      <c r="V6" s="3"/>
      <c r="W6" s="3"/>
    </row>
    <row r="7" spans="1:23" ht="19" customHeight="1">
      <c r="A7" s="2"/>
      <c r="B7" s="2"/>
      <c r="C7" s="2"/>
      <c r="D7" s="58" t="s">
        <v>3</v>
      </c>
      <c r="E7" s="58" t="s">
        <v>4</v>
      </c>
      <c r="F7" s="58" t="s">
        <v>5</v>
      </c>
      <c r="G7" s="58" t="s">
        <v>6</v>
      </c>
      <c r="H7" s="58" t="s">
        <v>7</v>
      </c>
      <c r="I7" s="58" t="s">
        <v>8</v>
      </c>
      <c r="J7" s="58" t="s">
        <v>9</v>
      </c>
      <c r="K7" s="58" t="s">
        <v>10</v>
      </c>
      <c r="L7" s="58" t="s">
        <v>11</v>
      </c>
      <c r="M7" s="58" t="s">
        <v>12</v>
      </c>
      <c r="N7" s="59"/>
      <c r="O7" s="59"/>
      <c r="P7" s="59"/>
      <c r="Q7" s="59"/>
      <c r="R7" s="59"/>
      <c r="S7" s="59"/>
      <c r="T7" s="59"/>
      <c r="U7" s="59"/>
      <c r="V7" s="59"/>
      <c r="W7" s="59"/>
    </row>
    <row r="8" spans="1:23" ht="19" customHeight="1">
      <c r="A8" s="2"/>
      <c r="B8" s="2"/>
      <c r="C8" s="2"/>
      <c r="D8" s="3" t="s">
        <v>13</v>
      </c>
      <c r="E8" s="3" t="s">
        <v>13</v>
      </c>
      <c r="F8" s="3" t="s">
        <v>13</v>
      </c>
      <c r="G8" s="3" t="s">
        <v>13</v>
      </c>
      <c r="H8" s="3" t="s">
        <v>13</v>
      </c>
      <c r="I8" s="3" t="s">
        <v>13</v>
      </c>
      <c r="J8" s="3" t="s">
        <v>13</v>
      </c>
      <c r="K8" s="3" t="s">
        <v>14</v>
      </c>
      <c r="L8" s="3" t="s">
        <v>15</v>
      </c>
      <c r="M8" s="3" t="s">
        <v>15</v>
      </c>
      <c r="N8" s="3"/>
      <c r="O8" s="3"/>
      <c r="P8" s="3"/>
      <c r="Q8" s="3"/>
      <c r="R8" s="3"/>
      <c r="S8" s="3"/>
      <c r="T8" s="3"/>
      <c r="U8" s="3"/>
      <c r="V8" s="3"/>
      <c r="W8" s="3"/>
    </row>
    <row r="9" spans="1:23" ht="19" customHeight="1">
      <c r="A9" s="2"/>
      <c r="B9" s="2"/>
      <c r="C9" s="41" t="s">
        <v>16</v>
      </c>
      <c r="D9" s="42">
        <f>'Fee engine'!D87</f>
        <v>151.69999999999999</v>
      </c>
      <c r="E9" s="42">
        <f>'Fee engine'!E87</f>
        <v>167.49999999999997</v>
      </c>
      <c r="F9" s="42">
        <f>'Fee engine'!F87</f>
        <v>178.20000000000002</v>
      </c>
      <c r="G9" s="42">
        <f>'Fee engine'!G87</f>
        <v>168.60000000000002</v>
      </c>
      <c r="H9" s="42">
        <f>'Fee engine'!H87</f>
        <v>193.3</v>
      </c>
      <c r="I9" s="42">
        <f>'Fee engine'!I87</f>
        <v>227.6</v>
      </c>
      <c r="J9" s="42">
        <f>'Fee engine'!J87</f>
        <v>253.59999999999997</v>
      </c>
      <c r="K9" s="42">
        <f>'Fee engine'!K87</f>
        <v>266.43849999999992</v>
      </c>
      <c r="L9" s="42">
        <f>'Fee engine'!L87</f>
        <v>279.92694906249989</v>
      </c>
      <c r="M9" s="42">
        <f>'Fee engine'!M87</f>
        <v>294.09825085878896</v>
      </c>
      <c r="N9" s="3"/>
      <c r="O9" s="3"/>
      <c r="P9" s="3"/>
      <c r="Q9" s="3"/>
      <c r="R9" s="3"/>
      <c r="S9" s="3"/>
      <c r="T9" s="3"/>
      <c r="U9" s="3"/>
      <c r="V9" s="3"/>
      <c r="W9" s="3"/>
    </row>
    <row r="10" spans="1:23" ht="19" customHeight="1">
      <c r="A10" s="2"/>
      <c r="B10" s="2"/>
      <c r="C10" s="2" t="s">
        <v>17</v>
      </c>
      <c r="D10" s="3">
        <f>'Fee engine'!D89</f>
        <v>2.6</v>
      </c>
      <c r="E10" s="3">
        <f>'Fee engine'!E89</f>
        <v>3</v>
      </c>
      <c r="F10" s="3">
        <f>'Fee engine'!F89</f>
        <v>0.89999999999999991</v>
      </c>
      <c r="G10" s="3">
        <f>'Fee engine'!G89</f>
        <v>-3.3</v>
      </c>
      <c r="H10" s="3">
        <f>'Fee engine'!H89</f>
        <v>17.600000000000001</v>
      </c>
      <c r="I10" s="3">
        <f>'Fee engine'!I89</f>
        <v>28.7</v>
      </c>
      <c r="J10" s="3">
        <f>'Fee engine'!J89</f>
        <v>7.1</v>
      </c>
      <c r="K10" s="3">
        <f>'Fee engine'!K89</f>
        <v>12.235399999999998</v>
      </c>
      <c r="L10" s="3">
        <f>'Fee engine'!L89</f>
        <v>5.3953796249999986</v>
      </c>
      <c r="M10" s="3">
        <f>'Fee engine'!M89</f>
        <v>11.063900343515622</v>
      </c>
      <c r="N10" s="3"/>
      <c r="O10" s="3"/>
      <c r="P10" s="3"/>
      <c r="Q10" s="3"/>
      <c r="R10" s="3"/>
      <c r="S10" s="3"/>
      <c r="T10" s="3"/>
      <c r="U10" s="3"/>
      <c r="V10" s="3"/>
      <c r="W10" s="3"/>
    </row>
    <row r="11" spans="1:23" ht="19" customHeight="1">
      <c r="A11" s="2"/>
      <c r="B11" s="2"/>
      <c r="C11" s="2" t="s">
        <v>18</v>
      </c>
      <c r="D11" s="25">
        <f>'Fee engine'!D109</f>
        <v>62.970568104038328</v>
      </c>
      <c r="E11" s="25">
        <f>'Fee engine'!E109</f>
        <v>62.838499184339312</v>
      </c>
      <c r="F11" s="25">
        <f>'Fee engine'!F109</f>
        <v>63.233395495624734</v>
      </c>
      <c r="G11" s="25">
        <f>'Fee engine'!G109</f>
        <v>62.969075123771269</v>
      </c>
      <c r="H11" s="25">
        <f>'Fee engine'!H109</f>
        <v>58.492433884881883</v>
      </c>
      <c r="I11" s="25">
        <f>'Fee engine'!I109</f>
        <v>55.379868877747761</v>
      </c>
      <c r="J11" s="25">
        <f>'Fee engine'!J109</f>
        <v>53.441295546558713</v>
      </c>
      <c r="K11" s="25">
        <f>'Fee engine'!K109</f>
        <v>54.786162474599045</v>
      </c>
      <c r="L11" s="25">
        <f>'Fee engine'!L109</f>
        <v>56</v>
      </c>
      <c r="M11" s="25">
        <f>'Fee engine'!M109</f>
        <v>56</v>
      </c>
      <c r="N11" s="3"/>
      <c r="O11" s="3"/>
      <c r="P11" s="3"/>
      <c r="Q11" s="3"/>
      <c r="R11" s="3"/>
      <c r="S11" s="3"/>
      <c r="T11" s="3"/>
      <c r="U11" s="3"/>
      <c r="V11" s="3"/>
      <c r="W11" s="3"/>
    </row>
    <row r="12" spans="1:23" ht="19" customHeight="1">
      <c r="A12" s="2"/>
      <c r="B12" s="2"/>
      <c r="C12" s="2"/>
      <c r="D12" s="3"/>
      <c r="E12" s="3"/>
      <c r="F12" s="3"/>
      <c r="G12" s="3"/>
      <c r="H12" s="3"/>
      <c r="I12" s="3"/>
      <c r="J12" s="3"/>
      <c r="K12" s="3"/>
      <c r="L12" s="3"/>
      <c r="M12" s="3"/>
      <c r="N12" s="3"/>
      <c r="O12" s="3"/>
      <c r="P12" s="3"/>
      <c r="Q12" s="3"/>
      <c r="R12" s="3"/>
      <c r="S12" s="3"/>
      <c r="T12" s="3"/>
      <c r="U12" s="3"/>
      <c r="V12" s="3"/>
      <c r="W12" s="3"/>
    </row>
    <row r="13" spans="1:23" ht="19" customHeight="1">
      <c r="A13" s="2"/>
      <c r="B13" s="2"/>
      <c r="C13" s="2" t="s">
        <v>19</v>
      </c>
      <c r="D13" s="3">
        <f>'Fee engine'!D95</f>
        <v>460</v>
      </c>
      <c r="E13" s="3">
        <f>'Fee engine'!E95</f>
        <v>963</v>
      </c>
      <c r="F13" s="3">
        <f>'Fee engine'!F95</f>
        <v>551</v>
      </c>
      <c r="G13" s="3">
        <f>'Fee engine'!G95</f>
        <v>1097</v>
      </c>
      <c r="H13" s="3">
        <f>'Fee engine'!H95</f>
        <v>516.99999999999989</v>
      </c>
      <c r="I13" s="3">
        <f>'Fee engine'!I95</f>
        <v>1076.9999999999998</v>
      </c>
      <c r="J13" s="3">
        <f>'Fee engine'!J95</f>
        <v>627</v>
      </c>
      <c r="K13" s="3">
        <f>'Fee engine'!K95</f>
        <v>1354.9429499999997</v>
      </c>
      <c r="L13" s="3">
        <f>'Fee engine'!L95</f>
        <v>764.79506184374964</v>
      </c>
      <c r="M13" s="3">
        <f>'Fee engine'!M95</f>
        <v>1568.3078736933392</v>
      </c>
      <c r="N13" s="3"/>
      <c r="O13" s="3"/>
      <c r="P13" s="3"/>
      <c r="Q13" s="3"/>
      <c r="R13" s="3"/>
      <c r="S13" s="3"/>
      <c r="T13" s="3"/>
      <c r="U13" s="3"/>
      <c r="V13" s="3"/>
      <c r="W13" s="3"/>
    </row>
    <row r="14" spans="1:23" ht="19" customHeight="1">
      <c r="A14" s="2"/>
      <c r="B14" s="2"/>
      <c r="C14" s="2" t="s">
        <v>20</v>
      </c>
      <c r="D14" s="3">
        <f>'Fee engine'!D96</f>
        <v>32</v>
      </c>
      <c r="E14" s="3">
        <f>'Fee engine'!E96</f>
        <v>180</v>
      </c>
      <c r="F14" s="3">
        <f>'Fee engine'!F96</f>
        <v>170</v>
      </c>
      <c r="G14" s="3">
        <f>'Fee engine'!G96</f>
        <v>310</v>
      </c>
      <c r="H14" s="3">
        <f>'Fee engine'!H96</f>
        <v>67</v>
      </c>
      <c r="I14" s="3">
        <f>'Fee engine'!I96</f>
        <v>281</v>
      </c>
      <c r="J14" s="3">
        <f>'Fee engine'!J96</f>
        <v>207</v>
      </c>
      <c r="K14" s="3">
        <f>'Fee engine'!K96</f>
        <v>421</v>
      </c>
      <c r="L14" s="3">
        <f>'Fee engine'!L96</f>
        <v>67</v>
      </c>
      <c r="M14" s="3">
        <f>'Fee engine'!M96</f>
        <v>281</v>
      </c>
      <c r="N14" s="3"/>
      <c r="O14" s="3"/>
      <c r="P14" s="3"/>
      <c r="Q14" s="3"/>
      <c r="R14" s="3"/>
      <c r="S14" s="3"/>
      <c r="T14" s="3"/>
      <c r="U14" s="3"/>
      <c r="V14" s="3"/>
      <c r="W14" s="3"/>
    </row>
    <row r="15" spans="1:23" ht="19" customHeight="1">
      <c r="A15" s="2"/>
      <c r="B15" s="2"/>
      <c r="C15" s="2" t="s">
        <v>21</v>
      </c>
      <c r="D15" s="3">
        <f>'Fee engine'!D97</f>
        <v>19</v>
      </c>
      <c r="E15" s="3">
        <f>'Fee engine'!E97</f>
        <v>48</v>
      </c>
      <c r="F15" s="3">
        <f>'Fee engine'!F97</f>
        <v>39</v>
      </c>
      <c r="G15" s="3">
        <f>'Fee engine'!G97</f>
        <v>50</v>
      </c>
      <c r="H15" s="3">
        <f>'Fee engine'!H97</f>
        <v>19</v>
      </c>
      <c r="I15" s="3">
        <f>'Fee engine'!I97</f>
        <v>38</v>
      </c>
      <c r="J15" s="3">
        <f>'Fee engine'!J97</f>
        <v>18</v>
      </c>
      <c r="K15" s="3">
        <f>'Fee engine'!K97</f>
        <v>37</v>
      </c>
      <c r="L15" s="3">
        <f>'Fee engine'!L97</f>
        <v>19</v>
      </c>
      <c r="M15" s="3">
        <f>'Fee engine'!M97</f>
        <v>38</v>
      </c>
      <c r="N15" s="3"/>
      <c r="O15" s="3"/>
      <c r="P15" s="3"/>
      <c r="Q15" s="3"/>
      <c r="R15" s="3"/>
      <c r="S15" s="3"/>
      <c r="T15" s="3"/>
      <c r="U15" s="3"/>
      <c r="V15" s="3"/>
      <c r="W15" s="3"/>
    </row>
    <row r="16" spans="1:23" ht="19" customHeight="1">
      <c r="A16" s="2"/>
      <c r="B16" s="2"/>
      <c r="C16" s="2" t="s">
        <v>22</v>
      </c>
      <c r="D16" s="3">
        <f>'Fee engine'!D98</f>
        <v>2</v>
      </c>
      <c r="E16" s="3">
        <f>'Fee engine'!E98</f>
        <v>5</v>
      </c>
      <c r="F16" s="3">
        <f>'Fee engine'!F98</f>
        <v>1</v>
      </c>
      <c r="G16" s="3">
        <f>'Fee engine'!G98</f>
        <v>2</v>
      </c>
      <c r="H16" s="3">
        <f>'Fee engine'!H98</f>
        <v>1</v>
      </c>
      <c r="I16" s="3">
        <f>'Fee engine'!I98</f>
        <v>2</v>
      </c>
      <c r="J16" s="3">
        <f>'Fee engine'!J98</f>
        <v>1</v>
      </c>
      <c r="K16" s="3">
        <f>'Fee engine'!K98</f>
        <v>2</v>
      </c>
      <c r="L16" s="3">
        <f>'Fee engine'!L98</f>
        <v>1</v>
      </c>
      <c r="M16" s="3">
        <f>'Fee engine'!M98</f>
        <v>2</v>
      </c>
      <c r="N16" s="3"/>
      <c r="O16" s="3"/>
      <c r="P16" s="3"/>
      <c r="Q16" s="3"/>
      <c r="R16" s="3"/>
      <c r="S16" s="3"/>
      <c r="T16" s="3"/>
      <c r="U16" s="3"/>
      <c r="V16" s="3"/>
      <c r="W16" s="3"/>
    </row>
    <row r="17" spans="1:23" ht="19" customHeight="1">
      <c r="A17" s="2"/>
      <c r="B17" s="2"/>
      <c r="C17" s="41" t="s">
        <v>23</v>
      </c>
      <c r="D17" s="42">
        <f>'Fee engine'!D99</f>
        <v>513</v>
      </c>
      <c r="E17" s="42">
        <f>'Fee engine'!E99</f>
        <v>1196</v>
      </c>
      <c r="F17" s="42">
        <f>'Fee engine'!F99</f>
        <v>761</v>
      </c>
      <c r="G17" s="42">
        <f>'Fee engine'!G99</f>
        <v>1459</v>
      </c>
      <c r="H17" s="42">
        <f>'Fee engine'!H99</f>
        <v>604</v>
      </c>
      <c r="I17" s="42">
        <f>'Fee engine'!I99</f>
        <v>1398</v>
      </c>
      <c r="J17" s="42">
        <f>'Fee engine'!J99</f>
        <v>853</v>
      </c>
      <c r="K17" s="42">
        <f>'Fee engine'!K99</f>
        <v>1814.9429499999997</v>
      </c>
      <c r="L17" s="42">
        <f>'Fee engine'!L99</f>
        <v>851.79506184374964</v>
      </c>
      <c r="M17" s="42">
        <f>'Fee engine'!M99</f>
        <v>1889.3078736933389</v>
      </c>
      <c r="N17" s="3"/>
      <c r="O17" s="3"/>
      <c r="P17" s="3"/>
      <c r="Q17" s="3"/>
      <c r="R17" s="3"/>
      <c r="S17" s="3"/>
      <c r="T17" s="3"/>
      <c r="U17" s="3"/>
      <c r="V17" s="3"/>
      <c r="W17" s="3"/>
    </row>
    <row r="18" spans="1:23" ht="19" customHeight="1">
      <c r="A18" s="2"/>
      <c r="B18" s="2"/>
      <c r="C18" s="2"/>
      <c r="D18" s="3"/>
      <c r="E18" s="3"/>
      <c r="F18" s="3"/>
      <c r="G18" s="3"/>
      <c r="H18" s="3"/>
      <c r="I18" s="3"/>
      <c r="J18" s="3"/>
      <c r="K18" s="3"/>
      <c r="L18" s="3"/>
      <c r="M18" s="3"/>
      <c r="N18" s="3"/>
      <c r="O18" s="3"/>
      <c r="P18" s="3"/>
      <c r="Q18" s="3"/>
      <c r="R18" s="3"/>
      <c r="S18" s="3"/>
      <c r="T18" s="3"/>
      <c r="U18" s="3"/>
      <c r="V18" s="3"/>
      <c r="W18" s="3"/>
    </row>
    <row r="19" spans="1:23" ht="19" customHeight="1">
      <c r="A19" s="2"/>
      <c r="B19" s="2"/>
      <c r="C19" s="2" t="s">
        <v>24</v>
      </c>
      <c r="D19" s="3">
        <f>'Fee engine'!D100</f>
        <v>-370</v>
      </c>
      <c r="E19" s="3">
        <f>'Fee engine'!E100</f>
        <v>-834</v>
      </c>
      <c r="F19" s="3">
        <f>'Fee engine'!F100</f>
        <v>-487</v>
      </c>
      <c r="G19" s="3">
        <f>'Fee engine'!G100</f>
        <v>-960.00000000000011</v>
      </c>
      <c r="H19" s="3">
        <f>'Fee engine'!H100</f>
        <v>-449</v>
      </c>
      <c r="I19" s="3">
        <f>'Fee engine'!I100</f>
        <v>-970</v>
      </c>
      <c r="J19" s="3">
        <f>'Fee engine'!J100</f>
        <v>-546</v>
      </c>
      <c r="K19" s="3">
        <f>'Fee engine'!K100</f>
        <v>-1124.4043220340709</v>
      </c>
      <c r="L19" s="3">
        <f>'Fee engine'!L100</f>
        <v>-498.5594068245066</v>
      </c>
      <c r="M19" s="3">
        <f>'Fee engine'!M100</f>
        <v>-1096.553767632043</v>
      </c>
      <c r="N19" s="3"/>
      <c r="O19" s="3"/>
      <c r="P19" s="3"/>
      <c r="Q19" s="3"/>
      <c r="R19" s="3"/>
      <c r="S19" s="3"/>
      <c r="T19" s="3"/>
      <c r="U19" s="3"/>
      <c r="V19" s="3"/>
      <c r="W19" s="3"/>
    </row>
    <row r="20" spans="1:23" ht="19" customHeight="1">
      <c r="A20" s="2"/>
      <c r="B20" s="2"/>
      <c r="C20" s="41" t="s">
        <v>25</v>
      </c>
      <c r="D20" s="42">
        <f>'Fee engine'!D101</f>
        <v>142.99999999999997</v>
      </c>
      <c r="E20" s="42">
        <f>'Fee engine'!E101</f>
        <v>362.00000000000006</v>
      </c>
      <c r="F20" s="42">
        <f>'Fee engine'!F101</f>
        <v>274</v>
      </c>
      <c r="G20" s="42">
        <f>'Fee engine'!G101</f>
        <v>498.99999999999994</v>
      </c>
      <c r="H20" s="42">
        <f>'Fee engine'!H101</f>
        <v>154.99999999999997</v>
      </c>
      <c r="I20" s="42">
        <f>'Fee engine'!I101</f>
        <v>428</v>
      </c>
      <c r="J20" s="42">
        <f>'Fee engine'!J101</f>
        <v>306.99999999999994</v>
      </c>
      <c r="K20" s="42">
        <f>'Fee engine'!K101</f>
        <v>690.53862796592875</v>
      </c>
      <c r="L20" s="42">
        <f>'Fee engine'!L101</f>
        <v>353.2356550192431</v>
      </c>
      <c r="M20" s="42">
        <f>'Fee engine'!M101</f>
        <v>792.75410606129617</v>
      </c>
      <c r="N20" s="3"/>
      <c r="O20" s="3"/>
      <c r="P20" s="3"/>
      <c r="Q20" s="3"/>
      <c r="R20" s="3"/>
      <c r="S20" s="3"/>
      <c r="T20" s="3"/>
      <c r="U20" s="3"/>
      <c r="V20" s="3"/>
      <c r="W20" s="3"/>
    </row>
    <row r="21" spans="1:23" ht="19" customHeight="1">
      <c r="A21" s="2"/>
      <c r="B21" s="2"/>
      <c r="C21" s="2"/>
      <c r="D21" s="3"/>
      <c r="E21" s="3"/>
      <c r="F21" s="3"/>
      <c r="G21" s="3"/>
      <c r="H21" s="3"/>
      <c r="I21" s="3"/>
      <c r="J21" s="3"/>
      <c r="K21" s="3"/>
      <c r="L21" s="3"/>
      <c r="M21" s="3"/>
      <c r="N21" s="3"/>
      <c r="O21" s="3"/>
      <c r="P21" s="3"/>
      <c r="Q21" s="3"/>
      <c r="R21" s="3"/>
      <c r="S21" s="3"/>
      <c r="T21" s="3"/>
      <c r="U21" s="3"/>
      <c r="V21" s="3"/>
      <c r="W21" s="3"/>
    </row>
    <row r="22" spans="1:23" ht="19" customHeight="1">
      <c r="A22" s="2"/>
      <c r="B22" s="2"/>
      <c r="C22" s="2" t="s">
        <v>26</v>
      </c>
      <c r="D22" s="3">
        <f>'Fee engine'!D102</f>
        <v>133</v>
      </c>
      <c r="E22" s="3">
        <f>'Fee engine'!E102</f>
        <v>280</v>
      </c>
      <c r="F22" s="3">
        <f>'Fee engine'!F102</f>
        <v>162.99999999999997</v>
      </c>
      <c r="G22" s="3">
        <f>'Fee engine'!G102</f>
        <v>323</v>
      </c>
      <c r="H22" s="3">
        <f>'Fee engine'!H102</f>
        <v>129.99999999999994</v>
      </c>
      <c r="I22" s="3">
        <f>'Fee engine'!I102</f>
        <v>293.99999999999994</v>
      </c>
      <c r="J22" s="3">
        <f>'Fee engine'!J102</f>
        <v>186</v>
      </c>
      <c r="K22" s="3">
        <f>'Fee engine'!K102</f>
        <v>473.73768752705735</v>
      </c>
      <c r="L22" s="3">
        <f>'Fee engine'!L102</f>
        <v>315.03659545811456</v>
      </c>
      <c r="M22" s="3">
        <f>'Fee engine'!M102</f>
        <v>658.75410606129617</v>
      </c>
      <c r="N22" s="3"/>
      <c r="O22" s="3"/>
      <c r="P22" s="3"/>
      <c r="Q22" s="3"/>
      <c r="R22" s="3"/>
      <c r="S22" s="3"/>
      <c r="T22" s="3"/>
      <c r="U22" s="3"/>
      <c r="V22" s="3"/>
      <c r="W22" s="3"/>
    </row>
    <row r="23" spans="1:23" ht="19" customHeight="1">
      <c r="A23" s="2"/>
      <c r="B23" s="2"/>
      <c r="C23" s="2" t="s">
        <v>27</v>
      </c>
      <c r="D23" s="3">
        <f>'Fee engine'!D103</f>
        <v>3.9999999999999964</v>
      </c>
      <c r="E23" s="3">
        <f>'Fee engine'!E103</f>
        <v>60.000000000000007</v>
      </c>
      <c r="F23" s="3">
        <f>'Fee engine'!F103</f>
        <v>94</v>
      </c>
      <c r="G23" s="3">
        <f>'Fee engine'!G103</f>
        <v>150</v>
      </c>
      <c r="H23" s="3">
        <f>'Fee engine'!H103</f>
        <v>16.000000000000007</v>
      </c>
      <c r="I23" s="3">
        <f>'Fee engine'!I103</f>
        <v>113</v>
      </c>
      <c r="J23" s="3">
        <f>'Fee engine'!J103</f>
        <v>111</v>
      </c>
      <c r="K23" s="3">
        <f>'Fee engine'!K103</f>
        <v>196.03937460257254</v>
      </c>
      <c r="L23" s="3">
        <f>'Fee engine'!L103</f>
        <v>27.960625397427471</v>
      </c>
      <c r="M23" s="3">
        <f>'Fee engine'!M103</f>
        <v>113.00000000000003</v>
      </c>
      <c r="N23" s="3"/>
      <c r="O23" s="3"/>
      <c r="P23" s="3"/>
      <c r="Q23" s="3"/>
      <c r="R23" s="3"/>
      <c r="S23" s="3"/>
      <c r="T23" s="3"/>
      <c r="U23" s="3"/>
      <c r="V23" s="3"/>
      <c r="W23" s="3"/>
    </row>
    <row r="24" spans="1:23" ht="19" customHeight="1">
      <c r="A24" s="2"/>
      <c r="B24" s="2"/>
      <c r="C24" s="41" t="s">
        <v>28</v>
      </c>
      <c r="D24" s="42">
        <f>'Fee engine'!D104</f>
        <v>136.99999999999997</v>
      </c>
      <c r="E24" s="42">
        <f>'Fee engine'!E104</f>
        <v>340</v>
      </c>
      <c r="F24" s="42">
        <f>'Fee engine'!F104</f>
        <v>257</v>
      </c>
      <c r="G24" s="42">
        <f>'Fee engine'!G104</f>
        <v>473</v>
      </c>
      <c r="H24" s="42">
        <f>'Fee engine'!H104</f>
        <v>145.99999999999994</v>
      </c>
      <c r="I24" s="42">
        <f>'Fee engine'!I104</f>
        <v>406.99999999999994</v>
      </c>
      <c r="J24" s="42">
        <f>'Fee engine'!J104</f>
        <v>297</v>
      </c>
      <c r="K24" s="42">
        <f>'Fee engine'!K104</f>
        <v>669.77706212962994</v>
      </c>
      <c r="L24" s="42">
        <f>'Fee engine'!L104</f>
        <v>342.99722085554208</v>
      </c>
      <c r="M24" s="42">
        <f>'Fee engine'!M104</f>
        <v>771.75410606129628</v>
      </c>
      <c r="N24" s="3"/>
      <c r="O24" s="3"/>
      <c r="P24" s="3"/>
      <c r="Q24" s="3"/>
      <c r="R24" s="3"/>
      <c r="S24" s="3"/>
      <c r="T24" s="3"/>
      <c r="U24" s="3"/>
      <c r="V24" s="3"/>
      <c r="W24" s="3"/>
    </row>
    <row r="25" spans="1:23" ht="19" customHeight="1">
      <c r="A25" s="2"/>
      <c r="B25" s="2"/>
      <c r="C25" s="2" t="s">
        <v>29</v>
      </c>
      <c r="D25" s="3">
        <f>'Fee engine'!D105</f>
        <v>-28.999999999999996</v>
      </c>
      <c r="E25" s="3">
        <f>'Fee engine'!E105</f>
        <v>-69</v>
      </c>
      <c r="F25" s="3">
        <f>'Fee engine'!F105</f>
        <v>-53</v>
      </c>
      <c r="G25" s="3">
        <f>'Fee engine'!G105</f>
        <v>-92</v>
      </c>
      <c r="H25" s="3">
        <f>'Fee engine'!H105</f>
        <v>-32.999999999999986</v>
      </c>
      <c r="I25" s="3">
        <f>'Fee engine'!I105</f>
        <v>-85.999999999999986</v>
      </c>
      <c r="J25" s="3">
        <f>'Fee engine'!J105</f>
        <v>-67</v>
      </c>
      <c r="K25" s="3">
        <f>'Fee engine'!K105</f>
        <v>-145.76861755073261</v>
      </c>
      <c r="L25" s="3">
        <f>'Fee engine'!L105</f>
        <v>-72.476071237288977</v>
      </c>
      <c r="M25" s="3">
        <f>'Fee engine'!M105</f>
        <v>-163.07334919231323</v>
      </c>
      <c r="N25" s="3"/>
      <c r="O25" s="3"/>
      <c r="P25" s="3"/>
      <c r="Q25" s="3"/>
      <c r="R25" s="3"/>
      <c r="S25" s="3"/>
      <c r="T25" s="3"/>
      <c r="U25" s="3"/>
      <c r="V25" s="3"/>
      <c r="W25" s="3"/>
    </row>
    <row r="26" spans="1:23" ht="19" customHeight="1">
      <c r="A26" s="2"/>
      <c r="B26" s="2"/>
      <c r="C26" s="41" t="s">
        <v>30</v>
      </c>
      <c r="D26" s="42">
        <f>'Fee engine'!D106</f>
        <v>107.99999999999997</v>
      </c>
      <c r="E26" s="42">
        <f>'Fee engine'!E106</f>
        <v>271</v>
      </c>
      <c r="F26" s="42">
        <f>'Fee engine'!F106</f>
        <v>203.99999999999997</v>
      </c>
      <c r="G26" s="42">
        <f>'Fee engine'!G106</f>
        <v>381</v>
      </c>
      <c r="H26" s="42">
        <f>'Fee engine'!H106</f>
        <v>112.99999999999994</v>
      </c>
      <c r="I26" s="42">
        <f>'Fee engine'!I106</f>
        <v>320.99999999999994</v>
      </c>
      <c r="J26" s="42">
        <f>'Fee engine'!J106</f>
        <v>230.00000000000003</v>
      </c>
      <c r="K26" s="42">
        <f>'Fee engine'!K106</f>
        <v>524.0084445788973</v>
      </c>
      <c r="L26" s="42">
        <f>'Fee engine'!L106</f>
        <v>270.52114961825305</v>
      </c>
      <c r="M26" s="42">
        <f>'Fee engine'!M106</f>
        <v>608.68075686898305</v>
      </c>
      <c r="N26" s="3"/>
      <c r="O26" s="3"/>
      <c r="P26" s="3"/>
      <c r="Q26" s="3"/>
      <c r="R26" s="3"/>
      <c r="S26" s="3"/>
      <c r="T26" s="3"/>
      <c r="U26" s="3"/>
      <c r="V26" s="3"/>
      <c r="W26" s="3"/>
    </row>
    <row r="27" spans="1:23" ht="19" customHeight="1">
      <c r="A27" s="2"/>
      <c r="B27" s="2"/>
      <c r="C27" s="2" t="s">
        <v>31</v>
      </c>
      <c r="D27" s="3">
        <f>'Fee engine'!D107</f>
        <v>1217</v>
      </c>
      <c r="E27" s="3">
        <f>'Fee engine'!E107</f>
        <v>1207.0554419999999</v>
      </c>
      <c r="F27" s="3">
        <f>'Fee engine'!F107</f>
        <v>1192</v>
      </c>
      <c r="G27" s="3">
        <f>'Fee engine'!G107</f>
        <v>1189.0758450000001</v>
      </c>
      <c r="H27" s="3">
        <f>'Fee engine'!H107</f>
        <v>1168</v>
      </c>
      <c r="I27" s="3">
        <f>'Fee engine'!I107</f>
        <v>1164.8773679999999</v>
      </c>
      <c r="J27" s="3">
        <f>'Fee engine'!J107</f>
        <v>1153</v>
      </c>
      <c r="K27" s="3">
        <f>'Fee engine'!K107</f>
        <v>1158.9874951013699</v>
      </c>
      <c r="L27" s="3">
        <f>'Fee engine'!L107</f>
        <v>1164.8773679999999</v>
      </c>
      <c r="M27" s="3">
        <f>'Fee engine'!M107</f>
        <v>1164.8773679999999</v>
      </c>
      <c r="N27" s="3"/>
      <c r="O27" s="3"/>
      <c r="P27" s="3"/>
      <c r="Q27" s="3"/>
      <c r="R27" s="3"/>
      <c r="S27" s="3"/>
      <c r="T27" s="3"/>
      <c r="U27" s="3"/>
      <c r="V27" s="3"/>
      <c r="W27" s="3"/>
    </row>
    <row r="28" spans="1:23" ht="19" customHeight="1">
      <c r="A28" s="2"/>
      <c r="B28" s="2"/>
      <c r="C28" s="41" t="s">
        <v>32</v>
      </c>
      <c r="D28" s="55">
        <f>'Fee engine'!D108</f>
        <v>8.8742810188989285</v>
      </c>
      <c r="E28" s="55">
        <f>'Fee engine'!E108</f>
        <v>22.451329953077668</v>
      </c>
      <c r="F28" s="55">
        <f>'Fee engine'!F108</f>
        <v>17.114093959731541</v>
      </c>
      <c r="G28" s="55">
        <f>'Fee engine'!G108</f>
        <v>32.041690326322289</v>
      </c>
      <c r="H28" s="55">
        <f>'Fee engine'!H108</f>
        <v>9.6746575342465704</v>
      </c>
      <c r="I28" s="55">
        <f>'Fee engine'!I108</f>
        <v>27.55654876797297</v>
      </c>
      <c r="J28" s="55">
        <f>'Fee engine'!J108</f>
        <v>19.947961838681703</v>
      </c>
      <c r="K28" s="55">
        <f>'Fee engine'!K108</f>
        <v>45.212605553873153</v>
      </c>
      <c r="L28" s="55">
        <f>'Fee engine'!L108</f>
        <v>23.223144087923689</v>
      </c>
      <c r="M28" s="55">
        <f>'Fee engine'!M108</f>
        <v>52.252775578775179</v>
      </c>
      <c r="N28" s="3"/>
      <c r="O28" s="3"/>
      <c r="P28" s="3"/>
      <c r="Q28" s="3"/>
      <c r="R28" s="3"/>
      <c r="S28" s="3"/>
      <c r="T28" s="3"/>
      <c r="U28" s="3"/>
      <c r="V28" s="3"/>
      <c r="W28" s="3"/>
    </row>
    <row r="29" spans="1:23" ht="19" customHeight="1">
      <c r="A29" s="2"/>
      <c r="B29" s="2"/>
      <c r="C29" s="2"/>
      <c r="D29" s="3"/>
      <c r="E29" s="3"/>
      <c r="F29" s="3"/>
      <c r="G29" s="3"/>
      <c r="H29" s="3"/>
      <c r="I29" s="3"/>
      <c r="J29" s="3"/>
      <c r="K29" s="3"/>
      <c r="L29" s="3"/>
      <c r="M29" s="3"/>
      <c r="N29" s="3"/>
      <c r="O29" s="3"/>
      <c r="P29" s="3"/>
      <c r="Q29" s="3"/>
      <c r="R29" s="3"/>
      <c r="S29" s="3"/>
      <c r="T29" s="3"/>
      <c r="U29" s="3"/>
      <c r="V29" s="3"/>
      <c r="W29" s="3"/>
    </row>
    <row r="30" spans="1:23" ht="19" customHeight="1">
      <c r="A30" s="2"/>
      <c r="B30" s="2"/>
      <c r="C30" s="2"/>
      <c r="D30" s="3"/>
      <c r="E30" s="3"/>
      <c r="F30" s="3"/>
      <c r="G30" s="3"/>
      <c r="H30" s="3"/>
      <c r="I30" s="3"/>
      <c r="J30" s="3"/>
      <c r="K30" s="3"/>
      <c r="L30" s="3"/>
      <c r="M30" s="3"/>
      <c r="N30" s="3"/>
      <c r="O30" s="3"/>
      <c r="P30" s="3"/>
      <c r="Q30" s="3"/>
      <c r="R30" s="3"/>
      <c r="S30" s="3"/>
      <c r="T30" s="3"/>
      <c r="U30" s="3"/>
      <c r="V30" s="3"/>
      <c r="W30" s="3"/>
    </row>
    <row r="31" spans="1:23" ht="19" customHeight="1">
      <c r="A31" s="2"/>
      <c r="B31" s="2"/>
      <c r="C31" s="11" t="s">
        <v>33</v>
      </c>
      <c r="D31" s="12"/>
      <c r="E31" s="12"/>
      <c r="F31" s="12"/>
      <c r="G31" s="12"/>
      <c r="H31" s="12"/>
      <c r="I31" s="12"/>
      <c r="J31" s="12"/>
      <c r="K31" s="12"/>
      <c r="L31" s="12"/>
      <c r="M31" s="12"/>
      <c r="N31" s="3"/>
      <c r="O31" s="3"/>
      <c r="P31" s="3"/>
      <c r="Q31" s="3"/>
      <c r="R31" s="3"/>
      <c r="S31" s="3"/>
      <c r="T31" s="3"/>
      <c r="U31" s="3"/>
      <c r="V31" s="3"/>
      <c r="W31" s="3"/>
    </row>
    <row r="32" spans="1:23" ht="19" customHeight="1">
      <c r="A32" s="2"/>
      <c r="B32" s="2"/>
      <c r="C32" s="2"/>
      <c r="D32" s="3"/>
      <c r="E32" s="3"/>
      <c r="F32" s="3"/>
      <c r="G32" s="3"/>
      <c r="H32" s="3"/>
      <c r="I32" s="3"/>
      <c r="J32" s="3"/>
      <c r="K32" s="3"/>
      <c r="L32" s="3"/>
      <c r="M32" s="3"/>
      <c r="N32" s="3"/>
      <c r="O32" s="3"/>
      <c r="P32" s="3"/>
      <c r="Q32" s="3"/>
      <c r="R32" s="3"/>
      <c r="S32" s="3"/>
      <c r="T32" s="3"/>
      <c r="U32" s="3"/>
      <c r="V32" s="3"/>
      <c r="W32" s="3"/>
    </row>
    <row r="33" spans="1:23" ht="19" customHeight="1">
      <c r="A33" s="2"/>
      <c r="B33" s="2"/>
      <c r="C33" s="2" t="s">
        <v>34</v>
      </c>
      <c r="D33" s="3" t="s">
        <v>35</v>
      </c>
      <c r="E33" s="3"/>
      <c r="F33" s="3"/>
      <c r="G33" s="3"/>
      <c r="H33" s="3"/>
      <c r="I33" s="3"/>
      <c r="J33" s="3"/>
      <c r="K33" s="3"/>
      <c r="L33" s="3"/>
      <c r="M33" s="3"/>
      <c r="N33" s="3"/>
      <c r="O33" s="3"/>
      <c r="P33" s="3"/>
      <c r="Q33" s="3"/>
      <c r="R33" s="3"/>
      <c r="S33" s="3"/>
      <c r="T33" s="3"/>
      <c r="U33" s="3"/>
      <c r="V33" s="3"/>
      <c r="W33" s="3"/>
    </row>
    <row r="34" spans="1:23" ht="19" customHeight="1">
      <c r="A34" s="2"/>
      <c r="B34" s="2"/>
      <c r="C34" s="2" t="s">
        <v>36</v>
      </c>
      <c r="D34" s="3" t="s">
        <v>37</v>
      </c>
      <c r="E34" s="3"/>
      <c r="F34" s="3"/>
      <c r="G34" s="3"/>
      <c r="H34" s="3"/>
      <c r="I34" s="3"/>
      <c r="J34" s="3"/>
      <c r="K34" s="3"/>
      <c r="L34" s="3"/>
      <c r="M34" s="3"/>
      <c r="N34" s="3"/>
      <c r="O34" s="3"/>
      <c r="P34" s="3"/>
      <c r="Q34" s="3"/>
      <c r="R34" s="3"/>
      <c r="S34" s="3"/>
      <c r="T34" s="3"/>
      <c r="U34" s="3"/>
      <c r="V34" s="3"/>
      <c r="W34" s="3"/>
    </row>
    <row r="35" spans="1:23" ht="19" customHeight="1">
      <c r="A35" s="2"/>
      <c r="B35" s="2"/>
      <c r="C35" s="2" t="s">
        <v>38</v>
      </c>
      <c r="D35" s="3" t="s">
        <v>39</v>
      </c>
      <c r="E35" s="3"/>
      <c r="F35" s="3"/>
      <c r="G35" s="3"/>
      <c r="H35" s="3"/>
      <c r="I35" s="3"/>
      <c r="J35" s="3"/>
      <c r="K35" s="3"/>
      <c r="L35" s="3"/>
      <c r="M35" s="3"/>
      <c r="N35" s="3"/>
      <c r="O35" s="3"/>
      <c r="P35" s="3"/>
      <c r="Q35" s="3"/>
      <c r="R35" s="3"/>
      <c r="S35" s="3"/>
      <c r="T35" s="3"/>
      <c r="U35" s="3"/>
      <c r="V35" s="3"/>
      <c r="W35" s="3"/>
    </row>
    <row r="36" spans="1:23" ht="19" customHeight="1">
      <c r="A36" s="2"/>
      <c r="B36" s="2"/>
      <c r="C36" s="2" t="s">
        <v>40</v>
      </c>
      <c r="D36" s="3" t="s">
        <v>41</v>
      </c>
      <c r="E36" s="3"/>
      <c r="F36" s="3"/>
      <c r="G36" s="3"/>
      <c r="H36" s="3"/>
      <c r="I36" s="3"/>
      <c r="J36" s="3"/>
      <c r="K36" s="3"/>
      <c r="L36" s="3"/>
      <c r="M36" s="3"/>
      <c r="N36" s="3"/>
      <c r="O36" s="3"/>
      <c r="P36" s="3"/>
      <c r="Q36" s="3"/>
      <c r="R36" s="3"/>
      <c r="S36" s="3"/>
      <c r="T36" s="3"/>
      <c r="U36" s="3"/>
      <c r="V36" s="3"/>
      <c r="W36" s="3"/>
    </row>
    <row r="37" spans="1:23" ht="19" customHeight="1">
      <c r="A37" s="2"/>
      <c r="B37" s="2"/>
      <c r="C37" s="2" t="s">
        <v>42</v>
      </c>
      <c r="D37" s="3" t="s">
        <v>43</v>
      </c>
      <c r="E37" s="3"/>
      <c r="F37" s="3"/>
      <c r="G37" s="3"/>
      <c r="H37" s="3"/>
      <c r="I37" s="3"/>
      <c r="J37" s="3"/>
      <c r="K37" s="3"/>
      <c r="L37" s="3"/>
      <c r="M37" s="3"/>
      <c r="N37" s="3"/>
      <c r="O37" s="3"/>
      <c r="P37" s="3"/>
      <c r="Q37" s="3"/>
      <c r="R37" s="3"/>
      <c r="S37" s="3"/>
      <c r="T37" s="3"/>
      <c r="U37" s="3"/>
      <c r="V37" s="3"/>
      <c r="W37" s="3"/>
    </row>
    <row r="38" spans="1:23" ht="19" customHeight="1">
      <c r="A38" s="2"/>
      <c r="B38" s="2"/>
      <c r="C38" s="2"/>
      <c r="D38" s="3"/>
      <c r="E38" s="3"/>
      <c r="F38" s="3"/>
      <c r="G38" s="3"/>
      <c r="H38" s="3"/>
      <c r="I38" s="3"/>
      <c r="J38" s="3"/>
      <c r="K38" s="3"/>
      <c r="L38" s="3"/>
      <c r="M38" s="3"/>
      <c r="N38" s="3"/>
      <c r="O38" s="3"/>
      <c r="P38" s="3"/>
      <c r="Q38" s="3"/>
      <c r="R38" s="3"/>
      <c r="S38" s="3"/>
      <c r="T38" s="3"/>
      <c r="U38" s="3"/>
      <c r="V38" s="3"/>
      <c r="W38" s="3"/>
    </row>
    <row r="39" spans="1:23" ht="19" customHeight="1">
      <c r="A39" s="2"/>
      <c r="B39" s="2"/>
      <c r="C39" s="2"/>
      <c r="D39" s="3"/>
      <c r="E39" s="3"/>
      <c r="F39" s="3"/>
      <c r="G39" s="3"/>
      <c r="H39" s="3"/>
      <c r="I39" s="3"/>
      <c r="J39" s="3"/>
      <c r="K39" s="3"/>
      <c r="L39" s="3"/>
      <c r="M39" s="3"/>
      <c r="N39" s="3"/>
      <c r="O39" s="3"/>
      <c r="P39" s="3"/>
      <c r="Q39" s="3"/>
      <c r="R39" s="3"/>
      <c r="S39" s="3"/>
      <c r="T39" s="3"/>
      <c r="U39" s="3"/>
      <c r="V39" s="3"/>
      <c r="W39" s="3"/>
    </row>
    <row r="40" spans="1:23" ht="19" customHeight="1">
      <c r="A40" s="2"/>
      <c r="B40" s="2"/>
      <c r="C40" s="11" t="s">
        <v>44</v>
      </c>
      <c r="D40" s="12"/>
      <c r="E40" s="12"/>
      <c r="F40" s="12"/>
      <c r="G40" s="12"/>
      <c r="H40" s="12"/>
      <c r="I40" s="12"/>
      <c r="J40" s="3"/>
      <c r="K40" s="3"/>
      <c r="L40" s="3"/>
      <c r="M40" s="3"/>
      <c r="N40" s="3"/>
      <c r="O40" s="3"/>
      <c r="P40" s="3"/>
      <c r="Q40" s="3"/>
      <c r="R40" s="3"/>
      <c r="S40" s="3"/>
      <c r="T40" s="3"/>
      <c r="U40" s="3"/>
      <c r="V40" s="3"/>
      <c r="W40" s="3"/>
    </row>
    <row r="41" spans="1:23" ht="19" customHeight="1">
      <c r="A41" s="2"/>
      <c r="B41" s="2"/>
      <c r="C41" s="2" t="s">
        <v>45</v>
      </c>
      <c r="D41" s="3" t="s">
        <v>46</v>
      </c>
      <c r="E41" s="3" t="s">
        <v>47</v>
      </c>
      <c r="F41" s="3" t="s">
        <v>48</v>
      </c>
      <c r="G41" s="3"/>
      <c r="H41" s="3"/>
      <c r="I41" s="3"/>
      <c r="J41" s="3"/>
      <c r="K41" s="3"/>
      <c r="L41" s="3"/>
      <c r="M41" s="3"/>
      <c r="N41" s="3"/>
      <c r="O41" s="3"/>
      <c r="P41" s="3"/>
      <c r="Q41" s="3"/>
      <c r="R41" s="3"/>
      <c r="S41" s="3"/>
      <c r="T41" s="3"/>
      <c r="U41" s="3"/>
      <c r="V41" s="3"/>
      <c r="W41" s="3"/>
    </row>
    <row r="42" spans="1:23" ht="19" customHeight="1">
      <c r="A42" s="2"/>
      <c r="B42" s="2"/>
      <c r="C42" s="2" t="s">
        <v>49</v>
      </c>
      <c r="D42" s="19">
        <f>Disclosures!D61/'Fee engine'!O17</f>
        <v>0.18673110720562391</v>
      </c>
      <c r="E42" s="19">
        <f>Disclosures!E61/Disclosures!I22</f>
        <v>0.3955431754874652</v>
      </c>
      <c r="F42" s="25">
        <f>Disclosures!F61</f>
        <v>105</v>
      </c>
      <c r="G42" s="3"/>
      <c r="H42" s="3"/>
      <c r="I42" s="3"/>
      <c r="J42" s="3"/>
      <c r="K42" s="3"/>
      <c r="L42" s="3"/>
      <c r="M42" s="3"/>
      <c r="N42" s="3"/>
      <c r="O42" s="3"/>
      <c r="P42" s="3"/>
      <c r="Q42" s="3"/>
      <c r="R42" s="3"/>
      <c r="S42" s="3"/>
      <c r="T42" s="3"/>
      <c r="U42" s="3"/>
      <c r="V42" s="3"/>
      <c r="W42" s="3"/>
    </row>
    <row r="43" spans="1:23" ht="19" customHeight="1">
      <c r="A43" s="2"/>
      <c r="B43" s="2"/>
      <c r="C43" s="2" t="s">
        <v>50</v>
      </c>
      <c r="D43" s="19">
        <f>Disclosures!D62/'Fee engine'!O17</f>
        <v>0.20474516695957823</v>
      </c>
      <c r="E43" s="19">
        <f>Disclosures!E62/Disclosures!I22</f>
        <v>0.24976787372330547</v>
      </c>
      <c r="F43" s="25">
        <f>Disclosures!F62</f>
        <v>63</v>
      </c>
      <c r="G43" s="3"/>
      <c r="H43" s="3"/>
      <c r="I43" s="3"/>
      <c r="J43" s="3"/>
      <c r="K43" s="3"/>
      <c r="L43" s="3"/>
      <c r="M43" s="3"/>
      <c r="N43" s="3"/>
      <c r="O43" s="3"/>
      <c r="P43" s="3"/>
      <c r="Q43" s="3"/>
      <c r="R43" s="3"/>
      <c r="S43" s="3"/>
      <c r="T43" s="3"/>
      <c r="U43" s="3"/>
      <c r="V43" s="3"/>
      <c r="W43" s="3"/>
    </row>
    <row r="44" spans="1:23" ht="19" customHeight="1">
      <c r="A44" s="2"/>
      <c r="B44" s="2"/>
      <c r="C44" s="2" t="s">
        <v>51</v>
      </c>
      <c r="D44" s="19">
        <f>Disclosures!D63/'Fee engine'!O17</f>
        <v>6.3708260105448153E-2</v>
      </c>
      <c r="E44" s="19">
        <f>Disclosures!E63/Disclosures!I22</f>
        <v>2.5998142989786442E-2</v>
      </c>
      <c r="F44" s="25">
        <f>Disclosures!F63</f>
        <v>20</v>
      </c>
      <c r="G44" s="3"/>
      <c r="H44" s="3"/>
      <c r="I44" s="3"/>
      <c r="J44" s="3"/>
      <c r="K44" s="3"/>
      <c r="L44" s="3"/>
      <c r="M44" s="3"/>
      <c r="N44" s="3"/>
      <c r="O44" s="3"/>
      <c r="P44" s="3"/>
      <c r="Q44" s="3"/>
      <c r="R44" s="3"/>
      <c r="S44" s="3"/>
      <c r="T44" s="3"/>
      <c r="U44" s="3"/>
      <c r="V44" s="3"/>
      <c r="W44" s="3"/>
    </row>
    <row r="45" spans="1:23" ht="19" customHeight="1">
      <c r="A45" s="2"/>
      <c r="B45" s="2"/>
      <c r="C45" s="2" t="s">
        <v>52</v>
      </c>
      <c r="D45" s="19">
        <f>Disclosures!D64/'Fee engine'!O17</f>
        <v>0.33479789103690688</v>
      </c>
      <c r="E45" s="19">
        <f>Disclosures!E64/Disclosures!I22</f>
        <v>0.12627669452181986</v>
      </c>
      <c r="F45" s="25">
        <f>Disclosures!F64</f>
        <v>24</v>
      </c>
      <c r="G45" s="3"/>
      <c r="H45" s="3"/>
      <c r="I45" s="3"/>
      <c r="J45" s="3"/>
      <c r="K45" s="3"/>
      <c r="L45" s="3"/>
      <c r="M45" s="3"/>
      <c r="N45" s="3"/>
      <c r="O45" s="3"/>
      <c r="P45" s="3"/>
      <c r="Q45" s="3"/>
      <c r="R45" s="3"/>
      <c r="S45" s="3"/>
      <c r="T45" s="3"/>
      <c r="U45" s="3"/>
      <c r="V45" s="3"/>
      <c r="W45" s="3"/>
    </row>
    <row r="46" spans="1:23" ht="19" customHeight="1">
      <c r="A46" s="2"/>
      <c r="B46" s="2"/>
      <c r="C46" s="2" t="s">
        <v>53</v>
      </c>
      <c r="D46" s="19">
        <f>Disclosures!D65/'Fee engine'!O17</f>
        <v>0.21001757469244287</v>
      </c>
      <c r="E46" s="19">
        <f>Disclosures!E65/Disclosures!I22</f>
        <v>0.19962859795728877</v>
      </c>
      <c r="F46" s="25">
        <f>Disclosures!F65</f>
        <v>57</v>
      </c>
      <c r="G46" s="3"/>
      <c r="H46" s="3"/>
      <c r="I46" s="3"/>
      <c r="J46" s="3"/>
      <c r="K46" s="3"/>
      <c r="L46" s="3"/>
      <c r="M46" s="3"/>
      <c r="N46" s="3"/>
      <c r="O46" s="3"/>
      <c r="P46" s="3"/>
      <c r="Q46" s="3"/>
      <c r="R46" s="3"/>
      <c r="S46" s="3"/>
      <c r="T46" s="3"/>
      <c r="U46" s="3"/>
      <c r="V46" s="3"/>
      <c r="W46" s="3"/>
    </row>
    <row r="47" spans="1:23" ht="19" customHeight="1">
      <c r="A47" s="2"/>
      <c r="B47" s="2"/>
      <c r="C47" s="2"/>
      <c r="D47" s="3"/>
      <c r="E47" s="3"/>
      <c r="F47" s="3"/>
      <c r="G47" s="3"/>
      <c r="H47" s="3"/>
      <c r="I47" s="3"/>
      <c r="J47" s="3"/>
      <c r="K47" s="3"/>
      <c r="L47" s="3"/>
      <c r="M47" s="3"/>
      <c r="N47" s="3"/>
      <c r="O47" s="3"/>
      <c r="P47" s="3"/>
      <c r="Q47" s="3"/>
      <c r="R47" s="3"/>
      <c r="S47" s="3"/>
      <c r="T47" s="3"/>
      <c r="U47" s="3"/>
      <c r="V47" s="3"/>
      <c r="W47" s="3"/>
    </row>
    <row r="48" spans="1:23" ht="19" customHeight="1">
      <c r="A48" s="2"/>
      <c r="B48" s="2"/>
      <c r="C48" s="2" t="s">
        <v>54</v>
      </c>
      <c r="D48" s="3"/>
      <c r="E48" s="3"/>
      <c r="F48" s="3"/>
      <c r="G48" s="3"/>
      <c r="H48" s="3"/>
      <c r="I48" s="3"/>
      <c r="J48" s="3"/>
      <c r="K48" s="3"/>
      <c r="L48" s="3"/>
      <c r="M48" s="3"/>
      <c r="N48" s="3"/>
      <c r="O48" s="3"/>
      <c r="P48" s="3"/>
      <c r="Q48" s="3"/>
      <c r="R48" s="3"/>
      <c r="S48" s="3"/>
      <c r="T48" s="3"/>
      <c r="U48" s="3"/>
      <c r="V48" s="3"/>
      <c r="W48" s="3"/>
    </row>
    <row r="49" spans="1:23" ht="19" customHeight="1">
      <c r="A49" s="2"/>
      <c r="B49" s="2"/>
      <c r="C49" s="2"/>
      <c r="D49" s="3"/>
      <c r="E49" s="3"/>
      <c r="F49" s="3"/>
      <c r="G49" s="3"/>
      <c r="H49" s="3"/>
      <c r="I49" s="3"/>
      <c r="J49" s="3"/>
      <c r="K49" s="3"/>
      <c r="L49" s="3"/>
      <c r="M49" s="3"/>
      <c r="N49" s="3"/>
      <c r="O49" s="3"/>
      <c r="P49" s="3"/>
      <c r="Q49" s="3"/>
      <c r="R49" s="3"/>
      <c r="S49" s="3"/>
      <c r="T49" s="3"/>
      <c r="U49" s="3"/>
      <c r="V49" s="3"/>
      <c r="W49" s="3"/>
    </row>
    <row r="50" spans="1:23" ht="19" customHeight="1">
      <c r="A50" s="2"/>
      <c r="B50" s="2"/>
      <c r="C50" s="2"/>
      <c r="D50" s="3"/>
      <c r="E50" s="3"/>
      <c r="F50" s="3"/>
      <c r="G50" s="3"/>
      <c r="H50" s="3"/>
      <c r="I50" s="3"/>
      <c r="J50" s="3"/>
      <c r="K50" s="3"/>
      <c r="L50" s="3"/>
      <c r="M50" s="3"/>
      <c r="N50" s="3"/>
      <c r="O50" s="3"/>
      <c r="P50" s="3"/>
      <c r="Q50" s="3"/>
      <c r="R50" s="3"/>
      <c r="S50" s="3"/>
      <c r="T50" s="3"/>
      <c r="U50" s="3"/>
      <c r="V50" s="3"/>
      <c r="W50" s="3"/>
    </row>
    <row r="51" spans="1:23" ht="19" customHeight="1">
      <c r="A51" s="2"/>
      <c r="B51" s="2"/>
      <c r="C51" s="2"/>
      <c r="D51" s="3"/>
      <c r="E51" s="3"/>
      <c r="F51" s="3"/>
      <c r="G51" s="3"/>
      <c r="H51" s="3"/>
      <c r="I51" s="3"/>
      <c r="J51" s="3"/>
      <c r="K51" s="3"/>
      <c r="L51" s="3"/>
      <c r="M51" s="3"/>
      <c r="N51" s="3"/>
      <c r="O51" s="3"/>
      <c r="P51" s="3"/>
      <c r="Q51" s="3"/>
      <c r="R51" s="3"/>
      <c r="S51" s="3"/>
      <c r="T51" s="3"/>
      <c r="U51" s="3"/>
      <c r="V51" s="3"/>
      <c r="W51" s="3"/>
    </row>
    <row r="52" spans="1:23" ht="19" customHeight="1">
      <c r="A52" s="2"/>
      <c r="B52" s="2"/>
      <c r="C52" s="2" t="s">
        <v>55</v>
      </c>
      <c r="D52" s="3" t="s">
        <v>56</v>
      </c>
      <c r="E52" s="3" t="s">
        <v>57</v>
      </c>
      <c r="F52" s="3" t="s">
        <v>58</v>
      </c>
      <c r="G52" s="3"/>
      <c r="H52" s="3"/>
      <c r="I52" s="3"/>
      <c r="J52" s="3"/>
      <c r="K52" s="3"/>
      <c r="L52" s="3"/>
      <c r="M52" s="3"/>
      <c r="N52" s="3"/>
      <c r="O52" s="3"/>
      <c r="P52" s="3"/>
      <c r="Q52" s="3"/>
      <c r="R52" s="3"/>
      <c r="S52" s="3"/>
      <c r="T52" s="3"/>
      <c r="U52" s="3"/>
      <c r="V52" s="3"/>
      <c r="W52" s="3"/>
    </row>
    <row r="53" spans="1:23" ht="19" customHeight="1">
      <c r="A53" s="2"/>
      <c r="B53" s="2"/>
      <c r="C53" s="2" t="s">
        <v>4</v>
      </c>
      <c r="D53" s="3">
        <f>'Fee engine'!E102</f>
        <v>280</v>
      </c>
      <c r="E53" s="3">
        <f>'Fee engine'!E103</f>
        <v>60.000000000000007</v>
      </c>
      <c r="F53" s="3">
        <f>'Fee engine'!E104</f>
        <v>340</v>
      </c>
      <c r="G53" s="3"/>
      <c r="H53" s="3"/>
      <c r="I53" s="3"/>
      <c r="J53" s="3"/>
      <c r="K53" s="3"/>
      <c r="L53" s="3"/>
      <c r="M53" s="3"/>
      <c r="N53" s="3"/>
      <c r="O53" s="3"/>
      <c r="P53" s="3"/>
      <c r="Q53" s="3"/>
      <c r="R53" s="3"/>
      <c r="S53" s="3"/>
      <c r="T53" s="3"/>
      <c r="U53" s="3"/>
      <c r="V53" s="3"/>
      <c r="W53" s="3"/>
    </row>
    <row r="54" spans="1:23" ht="19" customHeight="1">
      <c r="A54" s="2"/>
      <c r="B54" s="2"/>
      <c r="C54" s="2" t="s">
        <v>6</v>
      </c>
      <c r="D54" s="3">
        <f>'Fee engine'!G102</f>
        <v>323</v>
      </c>
      <c r="E54" s="3">
        <f>'Fee engine'!G103</f>
        <v>150</v>
      </c>
      <c r="F54" s="3">
        <f>'Fee engine'!G104</f>
        <v>473</v>
      </c>
      <c r="G54" s="3"/>
      <c r="H54" s="3"/>
      <c r="I54" s="3"/>
      <c r="J54" s="3"/>
      <c r="K54" s="3"/>
      <c r="L54" s="3"/>
      <c r="M54" s="3"/>
      <c r="N54" s="3"/>
      <c r="O54" s="3"/>
      <c r="P54" s="3"/>
      <c r="Q54" s="3"/>
      <c r="R54" s="3"/>
      <c r="S54" s="3"/>
      <c r="T54" s="3"/>
      <c r="U54" s="3"/>
      <c r="V54" s="3"/>
      <c r="W54" s="3"/>
    </row>
    <row r="55" spans="1:23" ht="19" customHeight="1">
      <c r="A55" s="2"/>
      <c r="B55" s="2"/>
      <c r="C55" s="2" t="s">
        <v>8</v>
      </c>
      <c r="D55" s="3">
        <f>'Fee engine'!I102</f>
        <v>293.99999999999994</v>
      </c>
      <c r="E55" s="3">
        <f>'Fee engine'!I103</f>
        <v>113</v>
      </c>
      <c r="F55" s="3">
        <f>'Fee engine'!I104</f>
        <v>406.99999999999994</v>
      </c>
      <c r="G55" s="3"/>
      <c r="H55" s="3"/>
      <c r="I55" s="3"/>
      <c r="J55" s="3"/>
      <c r="K55" s="3"/>
      <c r="L55" s="3"/>
      <c r="M55" s="3"/>
      <c r="N55" s="3"/>
      <c r="O55" s="3"/>
      <c r="P55" s="3"/>
      <c r="Q55" s="3"/>
      <c r="R55" s="3"/>
      <c r="S55" s="3"/>
      <c r="T55" s="3"/>
      <c r="U55" s="3"/>
      <c r="V55" s="3"/>
      <c r="W55" s="3"/>
    </row>
    <row r="56" spans="1:23" ht="19" customHeight="1">
      <c r="A56" s="2"/>
      <c r="B56" s="2"/>
      <c r="C56" s="2" t="s">
        <v>10</v>
      </c>
      <c r="D56" s="3">
        <f>'Fee engine'!K102</f>
        <v>473.73768752705735</v>
      </c>
      <c r="E56" s="3">
        <f>'Fee engine'!K103</f>
        <v>196.03937460257254</v>
      </c>
      <c r="F56" s="3">
        <f>'Fee engine'!K104</f>
        <v>669.77706212962994</v>
      </c>
      <c r="G56" s="3"/>
      <c r="H56" s="3"/>
      <c r="I56" s="3"/>
      <c r="J56" s="3"/>
      <c r="K56" s="3"/>
      <c r="L56" s="3"/>
      <c r="M56" s="3"/>
      <c r="N56" s="3"/>
      <c r="O56" s="3"/>
      <c r="P56" s="3"/>
      <c r="Q56" s="3"/>
      <c r="R56" s="3"/>
      <c r="S56" s="3"/>
      <c r="T56" s="3"/>
      <c r="U56" s="3"/>
      <c r="V56" s="3"/>
      <c r="W56" s="3"/>
    </row>
    <row r="57" spans="1:23" ht="19" customHeight="1">
      <c r="A57" s="2"/>
      <c r="B57" s="2"/>
      <c r="C57" s="2" t="s">
        <v>12</v>
      </c>
      <c r="D57" s="3">
        <f>'Fee engine'!M102</f>
        <v>658.75410606129617</v>
      </c>
      <c r="E57" s="3">
        <f>'Fee engine'!M103</f>
        <v>113.00000000000003</v>
      </c>
      <c r="F57" s="3">
        <f>'Fee engine'!M104</f>
        <v>771.75410606129628</v>
      </c>
      <c r="G57" s="3"/>
      <c r="H57" s="3"/>
      <c r="I57" s="3"/>
      <c r="J57" s="3"/>
      <c r="K57" s="3"/>
      <c r="L57" s="3"/>
      <c r="M57" s="3"/>
      <c r="N57" s="3"/>
      <c r="O57" s="3"/>
      <c r="P57" s="3"/>
      <c r="Q57" s="3"/>
      <c r="R57" s="3"/>
      <c r="S57" s="3"/>
      <c r="T57" s="3"/>
      <c r="U57" s="3"/>
      <c r="V57" s="3"/>
      <c r="W57" s="3"/>
    </row>
    <row r="58" spans="1:23" ht="19" customHeight="1">
      <c r="A58" s="2"/>
      <c r="B58" s="2"/>
      <c r="C58" s="2"/>
      <c r="D58" s="3"/>
      <c r="E58" s="3"/>
      <c r="F58" s="3"/>
      <c r="G58" s="3"/>
      <c r="H58" s="3"/>
      <c r="I58" s="3"/>
      <c r="J58" s="3"/>
      <c r="K58" s="3"/>
      <c r="L58" s="3"/>
      <c r="M58" s="3"/>
      <c r="N58" s="3"/>
      <c r="O58" s="3"/>
      <c r="P58" s="3"/>
      <c r="Q58" s="3"/>
      <c r="R58" s="3"/>
      <c r="S58" s="3"/>
      <c r="T58" s="3"/>
      <c r="U58" s="3"/>
      <c r="V58" s="3"/>
      <c r="W58" s="3"/>
    </row>
    <row r="59" spans="1:23" ht="19" customHeight="1">
      <c r="A59" s="2"/>
      <c r="B59" s="2"/>
      <c r="C59" s="2"/>
      <c r="D59" s="3"/>
      <c r="E59" s="3"/>
      <c r="F59" s="3"/>
      <c r="G59" s="3"/>
      <c r="H59" s="3"/>
      <c r="I59" s="3"/>
      <c r="J59" s="3"/>
      <c r="K59" s="3"/>
      <c r="L59" s="3"/>
      <c r="M59" s="3"/>
      <c r="N59" s="3"/>
      <c r="O59" s="3"/>
      <c r="P59" s="3"/>
      <c r="Q59" s="3"/>
      <c r="R59" s="3"/>
      <c r="S59" s="3"/>
      <c r="T59" s="3"/>
      <c r="U59" s="3"/>
      <c r="V59" s="3"/>
      <c r="W59" s="3"/>
    </row>
    <row r="60" spans="1:23" ht="19" customHeight="1">
      <c r="A60" s="2"/>
      <c r="B60" s="2"/>
      <c r="C60" s="2"/>
      <c r="D60" s="3"/>
      <c r="E60" s="3"/>
      <c r="F60" s="3"/>
      <c r="G60" s="3"/>
      <c r="H60" s="3"/>
      <c r="I60" s="3"/>
      <c r="J60" s="3"/>
      <c r="K60" s="3"/>
      <c r="L60" s="3"/>
      <c r="M60" s="3"/>
      <c r="N60" s="3"/>
      <c r="O60" s="3"/>
      <c r="P60" s="3"/>
      <c r="Q60" s="3"/>
      <c r="R60" s="3"/>
      <c r="S60" s="3"/>
      <c r="T60" s="3"/>
      <c r="U60" s="3"/>
      <c r="V60" s="3"/>
      <c r="W60" s="3"/>
    </row>
    <row r="61" spans="1:23" ht="19" customHeight="1">
      <c r="A61" s="2"/>
      <c r="B61" s="2"/>
      <c r="C61" s="2"/>
      <c r="D61" s="3"/>
      <c r="E61" s="3"/>
      <c r="F61" s="3"/>
      <c r="G61" s="3"/>
      <c r="H61" s="3"/>
      <c r="I61" s="3"/>
      <c r="J61" s="3"/>
      <c r="K61" s="3"/>
      <c r="L61" s="3"/>
      <c r="M61" s="3"/>
      <c r="N61" s="3"/>
      <c r="O61" s="3"/>
      <c r="P61" s="3"/>
      <c r="Q61" s="3"/>
      <c r="R61" s="3"/>
      <c r="S61" s="3"/>
      <c r="T61" s="3"/>
      <c r="U61" s="3"/>
      <c r="V61" s="3"/>
      <c r="W61" s="3"/>
    </row>
    <row r="62" spans="1:23" ht="19" customHeight="1">
      <c r="A62" s="2"/>
      <c r="B62" s="2"/>
      <c r="C62" s="2"/>
      <c r="D62" s="3"/>
      <c r="E62" s="3"/>
      <c r="F62" s="3"/>
      <c r="G62" s="3"/>
      <c r="H62" s="3"/>
      <c r="I62" s="3"/>
      <c r="J62" s="3"/>
      <c r="K62" s="3"/>
      <c r="L62" s="3"/>
      <c r="M62" s="3"/>
      <c r="N62" s="3"/>
      <c r="O62" s="3"/>
      <c r="P62" s="3"/>
      <c r="Q62" s="3"/>
      <c r="R62" s="3"/>
      <c r="S62" s="3"/>
      <c r="T62" s="3"/>
      <c r="U62" s="3"/>
      <c r="V62" s="3"/>
      <c r="W62" s="3"/>
    </row>
    <row r="63" spans="1:23" ht="19" customHeight="1">
      <c r="A63" s="2"/>
      <c r="B63" s="2"/>
      <c r="C63" s="2"/>
      <c r="D63" s="3"/>
      <c r="E63" s="3"/>
      <c r="F63" s="3"/>
      <c r="G63" s="3"/>
      <c r="H63" s="3"/>
      <c r="I63" s="3"/>
      <c r="J63" s="3"/>
      <c r="K63" s="3"/>
      <c r="L63" s="3"/>
      <c r="M63" s="3"/>
      <c r="N63" s="3"/>
      <c r="O63" s="3"/>
      <c r="P63" s="3"/>
      <c r="Q63" s="3"/>
      <c r="R63" s="3"/>
      <c r="S63" s="3"/>
      <c r="T63" s="3"/>
      <c r="U63" s="3"/>
      <c r="V63" s="3"/>
      <c r="W63" s="3"/>
    </row>
    <row r="64" spans="1:23" ht="19" customHeight="1">
      <c r="A64" s="2"/>
      <c r="B64" s="2"/>
      <c r="C64" s="2"/>
      <c r="D64" s="3"/>
      <c r="E64" s="3"/>
      <c r="F64" s="3"/>
      <c r="G64" s="3"/>
      <c r="H64" s="3"/>
      <c r="I64" s="3"/>
      <c r="J64" s="3"/>
      <c r="K64" s="3"/>
      <c r="L64" s="3"/>
      <c r="M64" s="3"/>
      <c r="N64" s="3"/>
      <c r="O64" s="3"/>
      <c r="P64" s="3"/>
      <c r="Q64" s="3"/>
      <c r="R64" s="3"/>
      <c r="S64" s="3"/>
      <c r="T64" s="3"/>
      <c r="U64" s="3"/>
      <c r="V64" s="3"/>
      <c r="W64" s="3"/>
    </row>
    <row r="65" spans="1:23" ht="19" customHeight="1">
      <c r="A65" s="2"/>
      <c r="B65" s="2"/>
      <c r="C65" s="2"/>
      <c r="D65" s="3"/>
      <c r="E65" s="3"/>
      <c r="F65" s="3"/>
      <c r="G65" s="3"/>
      <c r="H65" s="3"/>
      <c r="I65" s="3"/>
      <c r="J65" s="3"/>
      <c r="K65" s="3"/>
      <c r="L65" s="3"/>
      <c r="M65" s="3"/>
      <c r="N65" s="3"/>
      <c r="O65" s="3"/>
      <c r="P65" s="3"/>
      <c r="Q65" s="3"/>
      <c r="R65" s="3"/>
      <c r="S65" s="3"/>
      <c r="T65" s="3"/>
      <c r="U65" s="3"/>
      <c r="V65" s="3"/>
      <c r="W65" s="3"/>
    </row>
    <row r="66" spans="1:23" ht="19" customHeight="1">
      <c r="A66" s="2"/>
      <c r="B66" s="2"/>
      <c r="C66" s="2"/>
      <c r="D66" s="3"/>
      <c r="E66" s="3"/>
      <c r="F66" s="3"/>
      <c r="G66" s="3"/>
      <c r="H66" s="3"/>
      <c r="I66" s="3"/>
      <c r="J66" s="3"/>
      <c r="K66" s="3"/>
      <c r="L66" s="3"/>
      <c r="M66" s="3"/>
      <c r="N66" s="3"/>
      <c r="O66" s="3"/>
      <c r="P66" s="3"/>
      <c r="Q66" s="3"/>
      <c r="R66" s="3"/>
      <c r="S66" s="3"/>
      <c r="T66" s="3"/>
      <c r="U66" s="3"/>
      <c r="V66" s="3"/>
      <c r="W66" s="3"/>
    </row>
    <row r="67" spans="1:23" ht="19" customHeight="1">
      <c r="A67" s="2"/>
      <c r="B67" s="2"/>
      <c r="C67" s="2"/>
      <c r="D67" s="3"/>
      <c r="E67" s="3"/>
      <c r="F67" s="3"/>
      <c r="G67" s="3"/>
      <c r="H67" s="3"/>
      <c r="I67" s="3"/>
      <c r="J67" s="3"/>
      <c r="K67" s="3"/>
      <c r="L67" s="3"/>
      <c r="M67" s="3"/>
      <c r="N67" s="3"/>
      <c r="O67" s="3"/>
      <c r="P67" s="3"/>
      <c r="Q67" s="3"/>
      <c r="R67" s="3"/>
      <c r="S67" s="3"/>
      <c r="T67" s="3"/>
      <c r="U67" s="3"/>
      <c r="V67" s="3"/>
      <c r="W67" s="3"/>
    </row>
    <row r="68" spans="1:23" ht="19" customHeight="1">
      <c r="A68" s="2"/>
      <c r="B68" s="2"/>
      <c r="C68" s="2"/>
      <c r="D68" s="3"/>
      <c r="E68" s="3"/>
      <c r="F68" s="3"/>
      <c r="G68" s="3"/>
      <c r="H68" s="3"/>
      <c r="I68" s="3"/>
      <c r="J68" s="3"/>
      <c r="K68" s="3"/>
      <c r="L68" s="3"/>
      <c r="M68" s="3"/>
      <c r="N68" s="3"/>
      <c r="O68" s="3"/>
      <c r="P68" s="3"/>
      <c r="Q68" s="3"/>
      <c r="R68" s="3"/>
      <c r="S68" s="3"/>
      <c r="T68" s="3"/>
      <c r="U68" s="3"/>
      <c r="V68" s="3"/>
      <c r="W68" s="3"/>
    </row>
    <row r="69" spans="1:23" ht="19" customHeight="1">
      <c r="A69" s="2"/>
      <c r="B69" s="2"/>
      <c r="C69" s="2"/>
      <c r="D69" s="3"/>
      <c r="E69" s="3"/>
      <c r="F69" s="3"/>
      <c r="G69" s="3"/>
      <c r="H69" s="3"/>
      <c r="I69" s="3"/>
      <c r="J69" s="3"/>
      <c r="K69" s="3"/>
      <c r="L69" s="3"/>
      <c r="M69" s="3"/>
      <c r="N69" s="3"/>
      <c r="O69" s="3"/>
      <c r="P69" s="3"/>
      <c r="Q69" s="3"/>
      <c r="R69" s="3"/>
      <c r="S69" s="3"/>
      <c r="T69" s="3"/>
      <c r="U69" s="3"/>
      <c r="V69" s="3"/>
      <c r="W69" s="3"/>
    </row>
    <row r="70" spans="1:23" ht="19" customHeight="1">
      <c r="A70" s="2"/>
      <c r="B70" s="2"/>
      <c r="C70" s="2"/>
      <c r="D70" s="3"/>
      <c r="E70" s="3"/>
      <c r="F70" s="3"/>
      <c r="G70" s="3"/>
      <c r="H70" s="3"/>
      <c r="I70" s="3"/>
      <c r="J70" s="3"/>
      <c r="K70" s="3"/>
      <c r="L70" s="3"/>
      <c r="M70" s="3"/>
      <c r="N70" s="3"/>
      <c r="O70" s="3"/>
      <c r="P70" s="3"/>
      <c r="Q70" s="3"/>
      <c r="R70" s="3"/>
      <c r="S70" s="3"/>
      <c r="T70" s="3"/>
      <c r="U70" s="3"/>
      <c r="V70" s="3"/>
      <c r="W70" s="3"/>
    </row>
    <row r="71" spans="1:23" ht="19" customHeight="1">
      <c r="A71" s="2"/>
      <c r="B71" s="2"/>
      <c r="C71" s="2"/>
      <c r="D71" s="3"/>
      <c r="E71" s="3"/>
      <c r="F71" s="3"/>
      <c r="G71" s="3"/>
      <c r="H71" s="3"/>
      <c r="I71" s="3"/>
      <c r="J71" s="3"/>
      <c r="K71" s="3"/>
      <c r="L71" s="3"/>
      <c r="M71" s="3"/>
      <c r="N71" s="3"/>
      <c r="O71" s="3"/>
      <c r="P71" s="3"/>
      <c r="Q71" s="3"/>
      <c r="R71" s="3"/>
      <c r="S71" s="3"/>
      <c r="T71" s="3"/>
      <c r="U71" s="3"/>
      <c r="V71" s="3"/>
      <c r="W71" s="3"/>
    </row>
    <row r="72" spans="1:23" ht="19" customHeight="1">
      <c r="A72" s="2"/>
      <c r="B72" s="2"/>
      <c r="C72" s="2"/>
      <c r="D72" s="3"/>
      <c r="E72" s="3"/>
      <c r="F72" s="3"/>
      <c r="G72" s="3"/>
      <c r="H72" s="3"/>
      <c r="I72" s="3"/>
      <c r="J72" s="3"/>
      <c r="K72" s="3"/>
      <c r="L72" s="3"/>
      <c r="M72" s="3"/>
      <c r="N72" s="3"/>
      <c r="O72" s="3"/>
      <c r="P72" s="3"/>
      <c r="Q72" s="3"/>
      <c r="R72" s="3"/>
      <c r="S72" s="3"/>
      <c r="T72" s="3"/>
      <c r="U72" s="3"/>
      <c r="V72" s="3"/>
      <c r="W72" s="3"/>
    </row>
    <row r="73" spans="1:23" ht="19" customHeight="1">
      <c r="A73" s="2"/>
      <c r="B73" s="2"/>
      <c r="C73" s="2"/>
      <c r="D73" s="3"/>
      <c r="E73" s="3"/>
      <c r="F73" s="3"/>
      <c r="G73" s="3"/>
      <c r="H73" s="3"/>
      <c r="I73" s="3"/>
      <c r="J73" s="3"/>
      <c r="K73" s="3"/>
      <c r="L73" s="3"/>
      <c r="M73" s="3"/>
      <c r="N73" s="3"/>
      <c r="O73" s="3"/>
      <c r="P73" s="3"/>
      <c r="Q73" s="3"/>
      <c r="R73" s="3"/>
      <c r="S73" s="3"/>
      <c r="T73" s="3"/>
      <c r="U73" s="3"/>
      <c r="V73" s="3"/>
      <c r="W73" s="3"/>
    </row>
    <row r="74" spans="1:23" ht="19" customHeight="1">
      <c r="A74" s="2"/>
      <c r="B74" s="2"/>
      <c r="C74" s="2"/>
      <c r="D74" s="3"/>
      <c r="E74" s="3"/>
      <c r="F74" s="3"/>
      <c r="G74" s="3"/>
      <c r="H74" s="3"/>
      <c r="I74" s="3"/>
      <c r="J74" s="3"/>
      <c r="K74" s="3"/>
      <c r="L74" s="3"/>
      <c r="M74" s="3"/>
      <c r="N74" s="3"/>
      <c r="O74" s="3"/>
      <c r="P74" s="3"/>
      <c r="Q74" s="3"/>
      <c r="R74" s="3"/>
      <c r="S74" s="3"/>
      <c r="T74" s="3"/>
      <c r="U74" s="3"/>
      <c r="V74" s="3"/>
      <c r="W74" s="3"/>
    </row>
    <row r="75" spans="1:23" ht="19" customHeight="1">
      <c r="A75" s="2"/>
      <c r="B75" s="2"/>
      <c r="C75" s="2"/>
      <c r="D75" s="3"/>
      <c r="E75" s="3"/>
      <c r="F75" s="3"/>
      <c r="G75" s="3"/>
      <c r="H75" s="3"/>
      <c r="I75" s="3"/>
      <c r="J75" s="3"/>
      <c r="K75" s="3"/>
      <c r="L75" s="3"/>
      <c r="M75" s="3"/>
      <c r="N75" s="3"/>
      <c r="O75" s="3"/>
      <c r="P75" s="3"/>
      <c r="Q75" s="3"/>
      <c r="R75" s="3"/>
      <c r="S75" s="3"/>
      <c r="T75" s="3"/>
      <c r="U75" s="3"/>
      <c r="V75" s="3"/>
      <c r="W75" s="3"/>
    </row>
    <row r="76" spans="1:23" ht="19" customHeight="1">
      <c r="A76" s="2"/>
      <c r="B76" s="2"/>
      <c r="C76" s="2"/>
      <c r="D76" s="3"/>
      <c r="E76" s="3"/>
      <c r="F76" s="3"/>
      <c r="G76" s="3"/>
      <c r="H76" s="3"/>
      <c r="I76" s="3"/>
      <c r="J76" s="3"/>
      <c r="K76" s="3"/>
      <c r="L76" s="3"/>
      <c r="M76" s="3"/>
      <c r="N76" s="3"/>
      <c r="O76" s="3"/>
      <c r="P76" s="3"/>
      <c r="Q76" s="3"/>
      <c r="R76" s="3"/>
      <c r="S76" s="3"/>
      <c r="T76" s="3"/>
      <c r="U76" s="3"/>
      <c r="V76" s="3"/>
      <c r="W76" s="3"/>
    </row>
    <row r="77" spans="1:23" ht="19" customHeight="1">
      <c r="A77" s="2"/>
      <c r="B77" s="2"/>
      <c r="C77" s="2"/>
      <c r="D77" s="3"/>
      <c r="E77" s="3"/>
      <c r="F77" s="3"/>
      <c r="G77" s="3"/>
      <c r="H77" s="3"/>
      <c r="I77" s="3"/>
      <c r="J77" s="3"/>
      <c r="K77" s="3"/>
      <c r="L77" s="3"/>
      <c r="M77" s="3"/>
      <c r="N77" s="3"/>
      <c r="O77" s="3"/>
      <c r="P77" s="3"/>
      <c r="Q77" s="3"/>
      <c r="R77" s="3"/>
      <c r="S77" s="3"/>
      <c r="T77" s="3"/>
      <c r="U77" s="3"/>
      <c r="V77" s="3"/>
      <c r="W77" s="3"/>
    </row>
    <row r="78" spans="1:23" ht="19" customHeight="1">
      <c r="A78" s="2"/>
      <c r="B78" s="2"/>
      <c r="C78" s="2"/>
      <c r="D78" s="3"/>
      <c r="E78" s="3"/>
      <c r="F78" s="3"/>
      <c r="G78" s="3"/>
      <c r="H78" s="3"/>
      <c r="I78" s="3"/>
      <c r="J78" s="3"/>
      <c r="K78" s="3"/>
      <c r="L78" s="3"/>
      <c r="M78" s="3"/>
      <c r="N78" s="3"/>
      <c r="O78" s="3"/>
      <c r="P78" s="3"/>
      <c r="Q78" s="3"/>
      <c r="R78" s="3"/>
      <c r="S78" s="3"/>
      <c r="T78" s="3"/>
      <c r="U78" s="3"/>
      <c r="V78" s="3"/>
      <c r="W78" s="3"/>
    </row>
    <row r="79" spans="1:23" ht="19" customHeight="1">
      <c r="A79" s="2"/>
      <c r="B79" s="2"/>
      <c r="C79" s="2"/>
      <c r="D79" s="3"/>
      <c r="E79" s="3"/>
      <c r="F79" s="3"/>
      <c r="G79" s="3"/>
      <c r="H79" s="3"/>
      <c r="I79" s="3"/>
      <c r="J79" s="3"/>
      <c r="K79" s="3"/>
      <c r="L79" s="3"/>
      <c r="M79" s="3"/>
      <c r="N79" s="3"/>
      <c r="O79" s="3"/>
      <c r="P79" s="3"/>
      <c r="Q79" s="3"/>
      <c r="R79" s="3"/>
      <c r="S79" s="3"/>
      <c r="T79" s="3"/>
      <c r="U79" s="3"/>
      <c r="V79" s="3"/>
      <c r="W79" s="3"/>
    </row>
    <row r="80" spans="1:23" ht="19" customHeight="1">
      <c r="A80" s="2"/>
      <c r="B80" s="2"/>
      <c r="C80" s="2"/>
      <c r="D80" s="3"/>
      <c r="E80" s="3"/>
      <c r="F80" s="3"/>
      <c r="G80" s="3"/>
      <c r="H80" s="3"/>
      <c r="I80" s="3"/>
      <c r="J80" s="3"/>
      <c r="K80" s="3"/>
      <c r="L80" s="3"/>
      <c r="M80" s="3"/>
      <c r="N80" s="3"/>
      <c r="O80" s="3"/>
      <c r="P80" s="3"/>
      <c r="Q80" s="3"/>
      <c r="R80" s="3"/>
      <c r="S80" s="3"/>
      <c r="T80" s="3"/>
      <c r="U80" s="3"/>
      <c r="V80" s="3"/>
      <c r="W80" s="3"/>
    </row>
    <row r="81" spans="1:23" ht="19" customHeight="1">
      <c r="A81" s="2"/>
      <c r="B81" s="2"/>
      <c r="C81" s="2"/>
      <c r="D81" s="3"/>
      <c r="E81" s="3"/>
      <c r="F81" s="3"/>
      <c r="G81" s="3"/>
      <c r="H81" s="3"/>
      <c r="I81" s="3"/>
      <c r="J81" s="3"/>
      <c r="K81" s="3"/>
      <c r="L81" s="3"/>
      <c r="M81" s="3"/>
      <c r="N81" s="3"/>
      <c r="O81" s="3"/>
      <c r="P81" s="3"/>
      <c r="Q81" s="3"/>
      <c r="R81" s="3"/>
      <c r="S81" s="3"/>
      <c r="T81" s="3"/>
      <c r="U81" s="3"/>
      <c r="V81" s="3"/>
      <c r="W81" s="3"/>
    </row>
    <row r="82" spans="1:23" ht="19" customHeight="1">
      <c r="A82" s="2"/>
      <c r="B82" s="2"/>
      <c r="C82" s="2"/>
      <c r="D82" s="3"/>
      <c r="E82" s="3"/>
      <c r="F82" s="3"/>
      <c r="G82" s="3"/>
      <c r="H82" s="3"/>
      <c r="I82" s="3"/>
      <c r="J82" s="3"/>
      <c r="K82" s="3"/>
      <c r="L82" s="3"/>
      <c r="M82" s="3"/>
      <c r="N82" s="3"/>
      <c r="O82" s="3"/>
      <c r="P82" s="3"/>
      <c r="Q82" s="3"/>
      <c r="R82" s="3"/>
      <c r="S82" s="3"/>
      <c r="T82" s="3"/>
      <c r="U82" s="3"/>
      <c r="V82" s="3"/>
      <c r="W82" s="3"/>
    </row>
    <row r="83" spans="1:23" ht="19" customHeight="1">
      <c r="A83" s="2"/>
      <c r="B83" s="2"/>
      <c r="C83" s="2"/>
      <c r="D83" s="3"/>
      <c r="E83" s="3"/>
      <c r="F83" s="3"/>
      <c r="G83" s="3"/>
      <c r="H83" s="3"/>
      <c r="I83" s="3"/>
      <c r="J83" s="3"/>
      <c r="K83" s="3"/>
      <c r="L83" s="3"/>
      <c r="M83" s="3"/>
      <c r="N83" s="3"/>
      <c r="O83" s="3"/>
      <c r="P83" s="3"/>
      <c r="Q83" s="3"/>
      <c r="R83" s="3"/>
      <c r="S83" s="3"/>
      <c r="T83" s="3"/>
      <c r="U83" s="3"/>
      <c r="V83" s="3"/>
      <c r="W83" s="3"/>
    </row>
    <row r="84" spans="1:23" ht="19" customHeight="1">
      <c r="A84" s="2"/>
      <c r="B84" s="2"/>
      <c r="C84" s="2"/>
      <c r="D84" s="3"/>
      <c r="E84" s="3"/>
      <c r="F84" s="3"/>
      <c r="G84" s="3"/>
      <c r="H84" s="3"/>
      <c r="I84" s="3"/>
      <c r="J84" s="3"/>
      <c r="K84" s="3"/>
      <c r="L84" s="3"/>
      <c r="M84" s="3"/>
      <c r="N84" s="3"/>
      <c r="O84" s="3"/>
      <c r="P84" s="3"/>
      <c r="Q84" s="3"/>
      <c r="R84" s="3"/>
      <c r="S84" s="3"/>
      <c r="T84" s="3"/>
      <c r="U84" s="3"/>
      <c r="V84" s="3"/>
      <c r="W84" s="3"/>
    </row>
    <row r="85" spans="1:23" ht="19" customHeight="1">
      <c r="A85" s="2"/>
      <c r="B85" s="2"/>
      <c r="C85" s="2"/>
      <c r="D85" s="3"/>
      <c r="E85" s="3"/>
      <c r="F85" s="3"/>
      <c r="G85" s="3"/>
      <c r="H85" s="3"/>
      <c r="I85" s="3"/>
      <c r="J85" s="3"/>
      <c r="K85" s="3"/>
      <c r="L85" s="3"/>
      <c r="M85" s="3"/>
      <c r="N85" s="3"/>
      <c r="O85" s="3"/>
      <c r="P85" s="3"/>
      <c r="Q85" s="3"/>
      <c r="R85" s="3"/>
      <c r="S85" s="3"/>
      <c r="T85" s="3"/>
      <c r="U85" s="3"/>
      <c r="V85" s="3"/>
      <c r="W85" s="3"/>
    </row>
    <row r="86" spans="1:23" ht="19" customHeight="1">
      <c r="A86" s="2"/>
      <c r="B86" s="2"/>
      <c r="C86" s="2"/>
      <c r="D86" s="3"/>
      <c r="E86" s="3"/>
      <c r="F86" s="3"/>
      <c r="G86" s="3"/>
      <c r="H86" s="3"/>
      <c r="I86" s="3"/>
      <c r="J86" s="3"/>
      <c r="K86" s="3"/>
      <c r="L86" s="3"/>
      <c r="M86" s="3"/>
      <c r="N86" s="3"/>
      <c r="O86" s="3"/>
      <c r="P86" s="3"/>
      <c r="Q86" s="3"/>
      <c r="R86" s="3"/>
      <c r="S86" s="3"/>
      <c r="T86" s="3"/>
      <c r="U86" s="3"/>
      <c r="V86" s="3"/>
      <c r="W86" s="3"/>
    </row>
    <row r="87" spans="1:23" ht="19" customHeight="1">
      <c r="A87" s="2"/>
      <c r="B87" s="2"/>
      <c r="C87" s="2"/>
      <c r="D87" s="3"/>
      <c r="E87" s="3"/>
      <c r="F87" s="3"/>
      <c r="G87" s="3"/>
      <c r="H87" s="3"/>
      <c r="I87" s="3"/>
      <c r="J87" s="3"/>
      <c r="K87" s="3"/>
      <c r="L87" s="3"/>
      <c r="M87" s="3"/>
      <c r="N87" s="3"/>
      <c r="O87" s="3"/>
      <c r="P87" s="3"/>
      <c r="Q87" s="3"/>
      <c r="R87" s="3"/>
      <c r="S87" s="3"/>
      <c r="T87" s="3"/>
      <c r="U87" s="3"/>
      <c r="V87" s="3"/>
      <c r="W87" s="3"/>
    </row>
    <row r="88" spans="1:23" ht="19" customHeight="1">
      <c r="A88" s="2"/>
      <c r="B88" s="2"/>
      <c r="C88" s="2"/>
      <c r="D88" s="3"/>
      <c r="E88" s="3"/>
      <c r="F88" s="3"/>
      <c r="G88" s="3"/>
      <c r="H88" s="3"/>
      <c r="I88" s="3"/>
      <c r="J88" s="3"/>
      <c r="K88" s="3"/>
      <c r="L88" s="3"/>
      <c r="M88" s="3"/>
      <c r="N88" s="3"/>
      <c r="O88" s="3"/>
      <c r="P88" s="3"/>
      <c r="Q88" s="3"/>
      <c r="R88" s="3"/>
      <c r="S88" s="3"/>
      <c r="T88" s="3"/>
      <c r="U88" s="3"/>
      <c r="V88" s="3"/>
      <c r="W88" s="3"/>
    </row>
    <row r="89" spans="1:23" ht="19" customHeight="1">
      <c r="A89" s="2"/>
      <c r="B89" s="2"/>
      <c r="C89" s="2"/>
      <c r="D89" s="3"/>
      <c r="E89" s="3"/>
      <c r="F89" s="3"/>
      <c r="G89" s="3"/>
      <c r="H89" s="3"/>
      <c r="I89" s="3"/>
      <c r="J89" s="3"/>
      <c r="K89" s="3"/>
      <c r="L89" s="3"/>
      <c r="M89" s="3"/>
      <c r="N89" s="3"/>
      <c r="O89" s="3"/>
      <c r="P89" s="3"/>
      <c r="Q89" s="3"/>
      <c r="R89" s="3"/>
      <c r="S89" s="3"/>
      <c r="T89" s="3"/>
      <c r="U89" s="3"/>
      <c r="V89" s="3"/>
      <c r="W89" s="3"/>
    </row>
    <row r="90" spans="1:23" ht="19" customHeight="1">
      <c r="A90" s="2"/>
      <c r="B90" s="2"/>
      <c r="C90" s="2"/>
      <c r="D90" s="3"/>
      <c r="E90" s="3"/>
      <c r="F90" s="3"/>
      <c r="G90" s="3"/>
      <c r="H90" s="3"/>
      <c r="I90" s="3"/>
      <c r="J90" s="3"/>
      <c r="K90" s="3"/>
      <c r="L90" s="3"/>
      <c r="M90" s="3"/>
      <c r="N90" s="3"/>
      <c r="O90" s="3"/>
      <c r="P90" s="3"/>
      <c r="Q90" s="3"/>
      <c r="R90" s="3"/>
      <c r="S90" s="3"/>
      <c r="T90" s="3"/>
      <c r="U90" s="3"/>
      <c r="V90" s="3"/>
      <c r="W90" s="3"/>
    </row>
    <row r="91" spans="1:23" ht="19" customHeight="1">
      <c r="A91" s="2"/>
      <c r="B91" s="2"/>
      <c r="C91" s="2"/>
      <c r="D91" s="3"/>
      <c r="E91" s="3"/>
      <c r="F91" s="3"/>
      <c r="G91" s="3"/>
      <c r="H91" s="3"/>
      <c r="I91" s="3"/>
      <c r="J91" s="3"/>
      <c r="K91" s="3"/>
      <c r="L91" s="3"/>
      <c r="M91" s="3"/>
      <c r="N91" s="3"/>
      <c r="O91" s="3"/>
      <c r="P91" s="3"/>
      <c r="Q91" s="3"/>
      <c r="R91" s="3"/>
      <c r="S91" s="3"/>
      <c r="T91" s="3"/>
      <c r="U91" s="3"/>
      <c r="V91" s="3"/>
      <c r="W91" s="3"/>
    </row>
    <row r="92" spans="1:23" ht="19" customHeight="1">
      <c r="A92" s="2"/>
      <c r="B92" s="2"/>
      <c r="C92" s="2"/>
      <c r="D92" s="3"/>
      <c r="E92" s="3"/>
      <c r="F92" s="3"/>
      <c r="G92" s="3"/>
      <c r="H92" s="3"/>
      <c r="I92" s="3"/>
      <c r="J92" s="3"/>
      <c r="K92" s="3"/>
      <c r="L92" s="3"/>
      <c r="M92" s="3"/>
      <c r="N92" s="3"/>
      <c r="O92" s="3"/>
      <c r="P92" s="3"/>
      <c r="Q92" s="3"/>
      <c r="R92" s="3"/>
      <c r="S92" s="3"/>
      <c r="T92" s="3"/>
      <c r="U92" s="3"/>
      <c r="V92" s="3"/>
      <c r="W92" s="3"/>
    </row>
    <row r="93" spans="1:23" ht="19" customHeight="1">
      <c r="A93" s="2"/>
      <c r="B93" s="2"/>
      <c r="C93" s="2"/>
      <c r="D93" s="3"/>
      <c r="E93" s="3"/>
      <c r="F93" s="3"/>
      <c r="G93" s="3"/>
      <c r="H93" s="3"/>
      <c r="I93" s="3"/>
      <c r="J93" s="3"/>
      <c r="K93" s="3"/>
      <c r="L93" s="3"/>
      <c r="M93" s="3"/>
      <c r="N93" s="3"/>
      <c r="O93" s="3"/>
      <c r="P93" s="3"/>
      <c r="Q93" s="3"/>
      <c r="R93" s="3"/>
      <c r="S93" s="3"/>
      <c r="T93" s="3"/>
      <c r="U93" s="3"/>
      <c r="V93" s="3"/>
      <c r="W93" s="3"/>
    </row>
    <row r="94" spans="1:23" ht="19" customHeight="1">
      <c r="A94" s="2"/>
      <c r="B94" s="2"/>
      <c r="C94" s="2"/>
      <c r="D94" s="3"/>
      <c r="E94" s="3"/>
      <c r="F94" s="3"/>
      <c r="G94" s="3"/>
      <c r="H94" s="3"/>
      <c r="I94" s="3"/>
      <c r="J94" s="3"/>
      <c r="K94" s="3"/>
      <c r="L94" s="3"/>
      <c r="M94" s="3"/>
      <c r="N94" s="3"/>
      <c r="O94" s="3"/>
      <c r="P94" s="3"/>
      <c r="Q94" s="3"/>
      <c r="R94" s="3"/>
      <c r="S94" s="3"/>
      <c r="T94" s="3"/>
      <c r="U94" s="3"/>
      <c r="V94" s="3"/>
      <c r="W94" s="3"/>
    </row>
    <row r="95" spans="1:23" ht="19" customHeight="1">
      <c r="A95" s="2"/>
      <c r="B95" s="2"/>
      <c r="C95" s="2"/>
      <c r="D95" s="3"/>
      <c r="E95" s="3"/>
      <c r="F95" s="3"/>
      <c r="G95" s="3"/>
      <c r="H95" s="3"/>
      <c r="I95" s="3"/>
      <c r="J95" s="3"/>
      <c r="K95" s="3"/>
      <c r="L95" s="3"/>
      <c r="M95" s="3"/>
      <c r="N95" s="3"/>
      <c r="O95" s="3"/>
      <c r="P95" s="3"/>
      <c r="Q95" s="3"/>
      <c r="R95" s="3"/>
      <c r="S95" s="3"/>
      <c r="T95" s="3"/>
      <c r="U95" s="3"/>
      <c r="V95" s="3"/>
      <c r="W95" s="3"/>
    </row>
    <row r="96" spans="1:23" ht="19" customHeight="1">
      <c r="A96" s="2"/>
      <c r="B96" s="2"/>
      <c r="C96" s="2"/>
      <c r="D96" s="3"/>
      <c r="E96" s="3"/>
      <c r="F96" s="3"/>
      <c r="G96" s="3"/>
      <c r="H96" s="3"/>
      <c r="I96" s="3"/>
      <c r="J96" s="3"/>
      <c r="K96" s="3"/>
      <c r="L96" s="3"/>
      <c r="M96" s="3"/>
      <c r="N96" s="3"/>
      <c r="O96" s="3"/>
      <c r="P96" s="3"/>
      <c r="Q96" s="3"/>
      <c r="R96" s="3"/>
      <c r="S96" s="3"/>
      <c r="T96" s="3"/>
      <c r="U96" s="3"/>
      <c r="V96" s="3"/>
      <c r="W96" s="3"/>
    </row>
    <row r="97" spans="1:23" ht="19" customHeight="1">
      <c r="A97" s="2"/>
      <c r="B97" s="2"/>
      <c r="C97" s="2"/>
      <c r="D97" s="3"/>
      <c r="E97" s="3"/>
      <c r="F97" s="3"/>
      <c r="G97" s="3"/>
      <c r="H97" s="3"/>
      <c r="I97" s="3"/>
      <c r="J97" s="3"/>
      <c r="K97" s="3"/>
      <c r="L97" s="3"/>
      <c r="M97" s="3"/>
      <c r="N97" s="3"/>
      <c r="O97" s="3"/>
      <c r="P97" s="3"/>
      <c r="Q97" s="3"/>
      <c r="R97" s="3"/>
      <c r="S97" s="3"/>
      <c r="T97" s="3"/>
      <c r="U97" s="3"/>
      <c r="V97" s="3"/>
      <c r="W97" s="3"/>
    </row>
    <row r="98" spans="1:23" ht="19" customHeight="1">
      <c r="A98" s="2"/>
      <c r="B98" s="2"/>
      <c r="C98" s="2"/>
      <c r="D98" s="3"/>
      <c r="E98" s="3"/>
      <c r="F98" s="3"/>
      <c r="G98" s="3"/>
      <c r="H98" s="3"/>
      <c r="I98" s="3"/>
      <c r="J98" s="3"/>
      <c r="K98" s="3"/>
      <c r="L98" s="3"/>
      <c r="M98" s="3"/>
      <c r="N98" s="3"/>
      <c r="O98" s="3"/>
      <c r="P98" s="3"/>
      <c r="Q98" s="3"/>
      <c r="R98" s="3"/>
      <c r="S98" s="3"/>
      <c r="T98" s="3"/>
      <c r="U98" s="3"/>
      <c r="V98" s="3"/>
      <c r="W98" s="3"/>
    </row>
    <row r="99" spans="1:23" ht="19" customHeight="1">
      <c r="A99" s="2"/>
      <c r="B99" s="2"/>
      <c r="C99" s="2"/>
      <c r="D99" s="3"/>
      <c r="E99" s="3"/>
      <c r="F99" s="3"/>
      <c r="G99" s="3"/>
      <c r="H99" s="3"/>
      <c r="I99" s="3"/>
      <c r="J99" s="3"/>
      <c r="K99" s="3"/>
      <c r="L99" s="3"/>
      <c r="M99" s="3"/>
      <c r="N99" s="3"/>
      <c r="O99" s="3"/>
      <c r="P99" s="3"/>
      <c r="Q99" s="3"/>
      <c r="R99" s="3"/>
      <c r="S99" s="3"/>
      <c r="T99" s="3"/>
      <c r="U99" s="3"/>
      <c r="V99" s="3"/>
      <c r="W99" s="3"/>
    </row>
    <row r="100" spans="1:23" ht="19" customHeight="1">
      <c r="A100" s="2"/>
      <c r="B100" s="2"/>
      <c r="C100" s="2"/>
      <c r="D100" s="3"/>
      <c r="E100" s="3"/>
      <c r="F100" s="3"/>
      <c r="G100" s="3"/>
      <c r="H100" s="3"/>
      <c r="I100" s="3"/>
      <c r="J100" s="3"/>
      <c r="K100" s="3"/>
      <c r="L100" s="3"/>
      <c r="M100" s="3"/>
      <c r="N100" s="3"/>
      <c r="O100" s="3"/>
      <c r="P100" s="3"/>
      <c r="Q100" s="3"/>
      <c r="R100" s="3"/>
      <c r="S100" s="3"/>
      <c r="T100" s="3"/>
      <c r="U100" s="3"/>
      <c r="V100" s="3"/>
      <c r="W100"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5B653"/>
  </sheetPr>
  <dimension ref="A1:W100"/>
  <sheetViews>
    <sheetView showGridLines="0" workbookViewId="0">
      <pane xSplit="3" ySplit="7" topLeftCell="D8" activePane="bottomRight" state="frozen"/>
      <selection pane="topRight"/>
      <selection pane="bottomLeft"/>
      <selection pane="bottomRight" activeCell="D8" sqref="D8"/>
    </sheetView>
  </sheetViews>
  <sheetFormatPr baseColWidth="10" defaultColWidth="8.83203125" defaultRowHeight="14"/>
  <cols>
    <col min="1" max="2" width="2" customWidth="1"/>
    <col min="3" max="3" width="48" customWidth="1"/>
    <col min="4" max="23" width="13" customWidth="1"/>
  </cols>
  <sheetData>
    <row r="1" spans="1:23" ht="19" customHeight="1">
      <c r="A1" s="2"/>
      <c r="B1" s="2"/>
      <c r="C1" s="2"/>
      <c r="D1" s="3"/>
      <c r="E1" s="3"/>
      <c r="F1" s="3"/>
      <c r="G1" s="3"/>
      <c r="H1" s="3"/>
      <c r="I1" s="3"/>
      <c r="J1" s="3"/>
      <c r="K1" s="3"/>
      <c r="L1" s="3"/>
      <c r="M1" s="3"/>
      <c r="N1" s="3"/>
      <c r="O1" s="3"/>
      <c r="P1" s="3"/>
      <c r="Q1" s="3"/>
      <c r="R1" s="3"/>
      <c r="S1" s="3"/>
      <c r="T1" s="3"/>
      <c r="U1" s="3"/>
      <c r="V1" s="3"/>
      <c r="W1" s="3"/>
    </row>
    <row r="2" spans="1:23" ht="19" customHeight="1">
      <c r="A2" s="2"/>
      <c r="B2" s="2"/>
      <c r="C2" s="4" t="s">
        <v>59</v>
      </c>
      <c r="D2" s="3"/>
      <c r="E2" s="3"/>
      <c r="F2" s="3"/>
      <c r="G2" s="3"/>
      <c r="H2" s="3"/>
      <c r="I2" s="3"/>
      <c r="J2" s="3"/>
      <c r="K2" s="3"/>
      <c r="L2" s="3"/>
      <c r="M2" s="3"/>
      <c r="N2" s="3"/>
      <c r="O2" s="3"/>
      <c r="P2" s="3"/>
      <c r="Q2" s="3"/>
      <c r="R2" s="3"/>
      <c r="S2" s="3"/>
      <c r="T2" s="3"/>
      <c r="U2" s="3"/>
      <c r="V2" s="3"/>
      <c r="W2" s="3"/>
    </row>
    <row r="3" spans="1:23" ht="19" customHeight="1">
      <c r="A3" s="2"/>
      <c r="B3" s="2"/>
      <c r="C3" s="5"/>
      <c r="D3" s="6"/>
      <c r="E3" s="6"/>
      <c r="F3" s="6"/>
      <c r="G3" s="6"/>
      <c r="H3" s="6"/>
      <c r="I3" s="6"/>
      <c r="J3" s="6"/>
      <c r="K3" s="6"/>
      <c r="L3" s="3"/>
      <c r="M3" s="3"/>
      <c r="N3" s="3"/>
      <c r="O3" s="3"/>
      <c r="P3" s="3"/>
      <c r="Q3" s="3"/>
      <c r="R3" s="3"/>
      <c r="S3" s="3"/>
      <c r="T3" s="3"/>
      <c r="U3" s="3"/>
      <c r="V3" s="3"/>
      <c r="W3" s="3"/>
    </row>
    <row r="4" spans="1:23" ht="19" customHeight="1">
      <c r="A4" s="2"/>
      <c r="B4" s="2"/>
      <c r="C4" s="2" t="s">
        <v>60</v>
      </c>
      <c r="D4" s="63">
        <v>1</v>
      </c>
      <c r="E4" s="7" t="str">
        <f>CHOOSE(D4,"Base","Downside","Upside","Zero PF")</f>
        <v>Base</v>
      </c>
      <c r="F4" s="3"/>
      <c r="G4" s="3"/>
      <c r="H4" s="3"/>
      <c r="I4" s="3"/>
      <c r="J4" s="3"/>
      <c r="K4" s="3"/>
      <c r="L4" s="3"/>
      <c r="M4" s="3"/>
      <c r="N4" s="3"/>
      <c r="O4" s="3"/>
      <c r="P4" s="3"/>
      <c r="Q4" s="3"/>
      <c r="R4" s="3"/>
      <c r="S4" s="3"/>
      <c r="T4" s="3"/>
      <c r="U4" s="3"/>
      <c r="V4" s="3"/>
      <c r="W4" s="3"/>
    </row>
    <row r="5" spans="1:23" ht="19" customHeight="1">
      <c r="A5" s="2"/>
      <c r="B5" s="2"/>
      <c r="C5" s="2" t="s">
        <v>61</v>
      </c>
      <c r="D5" s="3"/>
      <c r="E5" s="3"/>
      <c r="F5" s="3"/>
      <c r="G5" s="3"/>
      <c r="H5" s="3"/>
      <c r="I5" s="3"/>
      <c r="J5" s="3"/>
      <c r="K5" s="3"/>
      <c r="L5" s="3"/>
      <c r="M5" s="3"/>
      <c r="N5" s="3"/>
      <c r="O5" s="3"/>
      <c r="P5" s="3"/>
      <c r="Q5" s="3"/>
      <c r="R5" s="3"/>
      <c r="S5" s="3"/>
      <c r="T5" s="3"/>
      <c r="U5" s="3"/>
      <c r="V5" s="3"/>
      <c r="W5" s="3"/>
    </row>
    <row r="6" spans="1:23" ht="19" customHeight="1">
      <c r="A6" s="2"/>
      <c r="B6" s="2"/>
      <c r="C6" s="2"/>
      <c r="D6" s="3"/>
      <c r="E6" s="3"/>
      <c r="F6" s="3"/>
      <c r="G6" s="3"/>
      <c r="H6" s="3"/>
      <c r="I6" s="3"/>
      <c r="J6" s="3"/>
      <c r="K6" s="3"/>
      <c r="L6" s="3"/>
      <c r="M6" s="3"/>
      <c r="N6" s="3"/>
      <c r="O6" s="3"/>
      <c r="P6" s="3"/>
      <c r="Q6" s="3"/>
      <c r="R6" s="3"/>
      <c r="S6" s="3"/>
      <c r="T6" s="3"/>
      <c r="U6" s="3"/>
      <c r="V6" s="3"/>
      <c r="W6" s="3"/>
    </row>
    <row r="7" spans="1:23" ht="19" customHeight="1">
      <c r="A7" s="2"/>
      <c r="B7" s="2"/>
      <c r="C7" s="2"/>
      <c r="D7" s="58" t="s">
        <v>62</v>
      </c>
      <c r="E7" s="58" t="s">
        <v>63</v>
      </c>
      <c r="F7" s="58" t="s">
        <v>64</v>
      </c>
      <c r="G7" s="58" t="s">
        <v>65</v>
      </c>
      <c r="H7" s="58" t="s">
        <v>66</v>
      </c>
      <c r="I7" s="58" t="s">
        <v>67</v>
      </c>
      <c r="J7" s="58" t="s">
        <v>68</v>
      </c>
      <c r="K7" s="58" t="s">
        <v>69</v>
      </c>
      <c r="L7" s="58" t="s">
        <v>70</v>
      </c>
      <c r="M7" s="58" t="s">
        <v>71</v>
      </c>
      <c r="N7" s="58" t="s">
        <v>72</v>
      </c>
      <c r="O7" s="58" t="s">
        <v>73</v>
      </c>
      <c r="P7" s="58" t="s">
        <v>74</v>
      </c>
      <c r="Q7" s="58" t="s">
        <v>75</v>
      </c>
      <c r="R7" s="58" t="s">
        <v>76</v>
      </c>
      <c r="S7" s="58" t="s">
        <v>77</v>
      </c>
      <c r="T7" s="58" t="s">
        <v>78</v>
      </c>
      <c r="U7" s="58" t="s">
        <v>79</v>
      </c>
      <c r="V7" s="58" t="s">
        <v>80</v>
      </c>
      <c r="W7" s="58" t="s">
        <v>81</v>
      </c>
    </row>
    <row r="8" spans="1:23" ht="19" customHeight="1">
      <c r="A8" s="2"/>
      <c r="B8" s="2"/>
      <c r="C8" s="2"/>
      <c r="D8" s="3"/>
      <c r="E8" s="3"/>
      <c r="F8" s="3"/>
      <c r="G8" s="3"/>
      <c r="H8" s="3"/>
      <c r="I8" s="3"/>
      <c r="J8" s="3"/>
      <c r="K8" s="3"/>
      <c r="L8" s="3"/>
      <c r="M8" s="3"/>
      <c r="N8" s="3"/>
      <c r="O8" s="3"/>
      <c r="P8" s="3"/>
      <c r="Q8" s="3"/>
      <c r="R8" s="3"/>
      <c r="S8" s="3"/>
      <c r="T8" s="3"/>
      <c r="U8" s="3"/>
      <c r="V8" s="3"/>
      <c r="W8" s="3"/>
    </row>
    <row r="9" spans="1:23" ht="19" customHeight="1">
      <c r="A9" s="2"/>
      <c r="B9" s="2"/>
      <c r="C9" s="2"/>
      <c r="D9" s="3"/>
      <c r="E9" s="3"/>
      <c r="F9" s="3"/>
      <c r="G9" s="3"/>
      <c r="H9" s="3"/>
      <c r="I9" s="3"/>
      <c r="J9" s="3"/>
      <c r="K9" s="3"/>
      <c r="L9" s="3"/>
      <c r="M9" s="3"/>
      <c r="N9" s="3"/>
      <c r="O9" s="3"/>
      <c r="P9" s="3"/>
      <c r="Q9" s="3"/>
      <c r="R9" s="3"/>
      <c r="S9" s="3"/>
      <c r="T9" s="3"/>
      <c r="U9" s="3"/>
      <c r="V9" s="3"/>
      <c r="W9" s="3"/>
    </row>
    <row r="10" spans="1:23" ht="19" customHeight="1">
      <c r="A10" s="2"/>
      <c r="B10" s="2"/>
      <c r="C10" s="11" t="s">
        <v>82</v>
      </c>
      <c r="D10" s="12"/>
      <c r="E10" s="12"/>
      <c r="F10" s="12"/>
      <c r="G10" s="12"/>
      <c r="H10" s="12"/>
      <c r="I10" s="12"/>
      <c r="J10" s="12"/>
      <c r="K10" s="12"/>
      <c r="L10" s="12"/>
      <c r="M10" s="12"/>
      <c r="N10" s="12"/>
      <c r="O10" s="12"/>
      <c r="P10" s="12"/>
      <c r="Q10" s="12"/>
      <c r="R10" s="12"/>
      <c r="S10" s="12"/>
      <c r="T10" s="12"/>
      <c r="U10" s="12"/>
      <c r="V10" s="12"/>
      <c r="W10" s="12"/>
    </row>
    <row r="11" spans="1:23" ht="19" customHeight="1">
      <c r="A11" s="2"/>
      <c r="B11" s="2"/>
      <c r="C11" s="21" t="s">
        <v>83</v>
      </c>
      <c r="D11" s="22">
        <f>'Fee engine'!D19</f>
        <v>7.6762037683182132E-3</v>
      </c>
      <c r="E11" s="22">
        <f>'Fee engine'!E19</f>
        <v>1.0366275051831375E-2</v>
      </c>
      <c r="F11" s="22">
        <f>'Fee engine'!F19</f>
        <v>4.6143704680290049E-3</v>
      </c>
      <c r="G11" s="22">
        <f>'Fee engine'!G19</f>
        <v>-1.8610421836228288E-3</v>
      </c>
      <c r="H11" s="22">
        <f>'Fee engine'!H19</f>
        <v>-9.5522388059701511E-3</v>
      </c>
      <c r="I11" s="22">
        <f>'Fee engine'!I19</f>
        <v>1.4228799089356859E-2</v>
      </c>
      <c r="J11" s="22">
        <f>'Fee engine'!J19</f>
        <v>-3.0864197530864196E-2</v>
      </c>
      <c r="K11" s="22">
        <f>'Fee engine'!K19</f>
        <v>7.4328187535734709E-3</v>
      </c>
      <c r="L11" s="22">
        <f>'Fee engine'!L19</f>
        <v>2.1352313167259784E-2</v>
      </c>
      <c r="M11" s="22">
        <f>'Fee engine'!M19</f>
        <v>8.1112398609501729E-2</v>
      </c>
      <c r="N11" s="22">
        <f>'Fee engine'!N19</f>
        <v>5.0181065700982921E-2</v>
      </c>
      <c r="O11" s="22">
        <f>'Fee engine'!O19</f>
        <v>6.5451145395044406E-3</v>
      </c>
      <c r="P11" s="22">
        <f>'Fee engine'!P19</f>
        <v>-7.0298769771529003E-3</v>
      </c>
      <c r="Q11" s="22">
        <f>'Fee engine'!Q19</f>
        <v>3.8041101880192392E-2</v>
      </c>
      <c r="R11" s="23">
        <f t="shared" ref="R11:W11" si="0">IF(CHOOSE($D$4,ISBLANK(R12),ISBLANK(R13),ISBLANK(R14),ISBLANK(R15)),NA(),CHOOSE($D$4,R12,R13,R14,R15))</f>
        <v>0.01</v>
      </c>
      <c r="S11" s="23">
        <f t="shared" si="0"/>
        <v>0.01</v>
      </c>
      <c r="T11" s="23">
        <f t="shared" si="0"/>
        <v>0.01</v>
      </c>
      <c r="U11" s="23">
        <f t="shared" si="0"/>
        <v>0.01</v>
      </c>
      <c r="V11" s="23">
        <f t="shared" si="0"/>
        <v>0.01</v>
      </c>
      <c r="W11" s="23">
        <f t="shared" si="0"/>
        <v>0.01</v>
      </c>
    </row>
    <row r="12" spans="1:23" ht="19" customHeight="1">
      <c r="A12" s="2"/>
      <c r="B12" s="2"/>
      <c r="C12" s="2" t="s">
        <v>84</v>
      </c>
      <c r="D12" s="19"/>
      <c r="E12" s="19"/>
      <c r="F12" s="19"/>
      <c r="G12" s="19"/>
      <c r="H12" s="19"/>
      <c r="I12" s="19"/>
      <c r="J12" s="19"/>
      <c r="K12" s="19"/>
      <c r="L12" s="19"/>
      <c r="M12" s="19"/>
      <c r="N12" s="19"/>
      <c r="O12" s="19"/>
      <c r="P12" s="19"/>
      <c r="Q12" s="19"/>
      <c r="R12" s="20">
        <v>0.01</v>
      </c>
      <c r="S12" s="20">
        <v>0.01</v>
      </c>
      <c r="T12" s="20">
        <v>0.01</v>
      </c>
      <c r="U12" s="20">
        <v>0.01</v>
      </c>
      <c r="V12" s="20">
        <v>0.01</v>
      </c>
      <c r="W12" s="20">
        <v>0.01</v>
      </c>
    </row>
    <row r="13" spans="1:23" ht="19" customHeight="1">
      <c r="A13" s="2"/>
      <c r="B13" s="2"/>
      <c r="C13" s="2" t="s">
        <v>85</v>
      </c>
      <c r="D13" s="19"/>
      <c r="E13" s="19"/>
      <c r="F13" s="19"/>
      <c r="G13" s="19"/>
      <c r="H13" s="19"/>
      <c r="I13" s="19"/>
      <c r="J13" s="19"/>
      <c r="K13" s="19"/>
      <c r="L13" s="19"/>
      <c r="M13" s="19"/>
      <c r="N13" s="19"/>
      <c r="O13" s="19"/>
      <c r="P13" s="19"/>
      <c r="Q13" s="19"/>
      <c r="R13" s="20">
        <v>0</v>
      </c>
      <c r="S13" s="20">
        <v>0</v>
      </c>
      <c r="T13" s="20">
        <v>0</v>
      </c>
      <c r="U13" s="20">
        <v>0</v>
      </c>
      <c r="V13" s="20">
        <v>0</v>
      </c>
      <c r="W13" s="20">
        <v>0</v>
      </c>
    </row>
    <row r="14" spans="1:23" ht="19" customHeight="1">
      <c r="A14" s="2"/>
      <c r="B14" s="2"/>
      <c r="C14" s="2" t="s">
        <v>86</v>
      </c>
      <c r="D14" s="19"/>
      <c r="E14" s="19"/>
      <c r="F14" s="19"/>
      <c r="G14" s="19"/>
      <c r="H14" s="19"/>
      <c r="I14" s="19"/>
      <c r="J14" s="19"/>
      <c r="K14" s="19"/>
      <c r="L14" s="19"/>
      <c r="M14" s="19"/>
      <c r="N14" s="19"/>
      <c r="O14" s="19"/>
      <c r="P14" s="19"/>
      <c r="Q14" s="19"/>
      <c r="R14" s="20">
        <v>0.02</v>
      </c>
      <c r="S14" s="20">
        <v>0.02</v>
      </c>
      <c r="T14" s="20">
        <v>0.02</v>
      </c>
      <c r="U14" s="20">
        <v>0.02</v>
      </c>
      <c r="V14" s="20">
        <v>0.02</v>
      </c>
      <c r="W14" s="20">
        <v>0.02</v>
      </c>
    </row>
    <row r="15" spans="1:23" ht="19" customHeight="1">
      <c r="A15" s="2"/>
      <c r="B15" s="2"/>
      <c r="C15" s="2" t="s">
        <v>87</v>
      </c>
      <c r="D15" s="19"/>
      <c r="E15" s="19"/>
      <c r="F15" s="19"/>
      <c r="G15" s="19"/>
      <c r="H15" s="19"/>
      <c r="I15" s="19"/>
      <c r="J15" s="19"/>
      <c r="K15" s="19"/>
      <c r="L15" s="19"/>
      <c r="M15" s="19"/>
      <c r="N15" s="19"/>
      <c r="O15" s="19"/>
      <c r="P15" s="19"/>
      <c r="Q15" s="19"/>
      <c r="R15" s="20">
        <v>0.01</v>
      </c>
      <c r="S15" s="20">
        <v>0.01</v>
      </c>
      <c r="T15" s="20">
        <v>0.01</v>
      </c>
      <c r="U15" s="20">
        <v>0.01</v>
      </c>
      <c r="V15" s="20">
        <v>0.01</v>
      </c>
      <c r="W15" s="20">
        <v>0.01</v>
      </c>
    </row>
    <row r="16" spans="1:23" ht="19" customHeight="1">
      <c r="A16" s="2"/>
      <c r="B16" s="2"/>
      <c r="C16" s="2"/>
      <c r="D16" s="3"/>
      <c r="E16" s="3"/>
      <c r="F16" s="3"/>
      <c r="G16" s="3"/>
      <c r="H16" s="3"/>
      <c r="I16" s="3"/>
      <c r="J16" s="3"/>
      <c r="K16" s="3"/>
      <c r="L16" s="3"/>
      <c r="M16" s="3"/>
      <c r="N16" s="3"/>
      <c r="O16" s="3"/>
      <c r="P16" s="3"/>
      <c r="Q16" s="3"/>
      <c r="R16" s="3"/>
      <c r="S16" s="3"/>
      <c r="T16" s="3"/>
      <c r="U16" s="3"/>
      <c r="V16" s="3"/>
      <c r="W16" s="3"/>
    </row>
    <row r="17" spans="1:23" ht="19" customHeight="1">
      <c r="A17" s="2"/>
      <c r="B17" s="2"/>
      <c r="C17" s="11" t="s">
        <v>88</v>
      </c>
      <c r="D17" s="12"/>
      <c r="E17" s="12"/>
      <c r="F17" s="12"/>
      <c r="G17" s="12"/>
      <c r="H17" s="12"/>
      <c r="I17" s="12"/>
      <c r="J17" s="12"/>
      <c r="K17" s="12"/>
      <c r="L17" s="12"/>
      <c r="M17" s="12"/>
      <c r="N17" s="12"/>
      <c r="O17" s="12"/>
      <c r="P17" s="12"/>
      <c r="Q17" s="12"/>
      <c r="R17" s="12"/>
      <c r="S17" s="12"/>
      <c r="T17" s="12"/>
      <c r="U17" s="12"/>
      <c r="V17" s="12"/>
      <c r="W17" s="12"/>
    </row>
    <row r="18" spans="1:23" ht="19" customHeight="1">
      <c r="A18" s="2"/>
      <c r="B18" s="2"/>
      <c r="C18" s="21" t="s">
        <v>83</v>
      </c>
      <c r="D18" s="22">
        <f>'Fee engine'!D20</f>
        <v>4.8848569434752258E-3</v>
      </c>
      <c r="E18" s="22">
        <f>'Fee engine'!E20</f>
        <v>3.0407740152038707E-2</v>
      </c>
      <c r="F18" s="22">
        <f>'Fee engine'!F20</f>
        <v>6.5919578114700071E-4</v>
      </c>
      <c r="G18" s="22">
        <f>'Fee engine'!G20</f>
        <v>2.7915632754342435E-2</v>
      </c>
      <c r="H18" s="22">
        <f>'Fee engine'!H20</f>
        <v>5.8507462686567181E-2</v>
      </c>
      <c r="I18" s="22">
        <f>'Fee engine'!I20</f>
        <v>7.3989755264655668E-3</v>
      </c>
      <c r="J18" s="22">
        <f>'Fee engine'!J20</f>
        <v>2.2446689113355778E-3</v>
      </c>
      <c r="K18" s="22">
        <f>'Fee engine'!K20</f>
        <v>-3.4305317324185248E-3</v>
      </c>
      <c r="L18" s="22">
        <f>'Fee engine'!L20</f>
        <v>-6.5243179122182679E-3</v>
      </c>
      <c r="M18" s="22">
        <f>'Fee engine'!M20</f>
        <v>2.0857473928157587E-2</v>
      </c>
      <c r="N18" s="22">
        <f>'Fee engine'!N20</f>
        <v>5.1733057423693739E-2</v>
      </c>
      <c r="O18" s="22">
        <f>'Fee engine'!O20</f>
        <v>4.1608228143992523E-2</v>
      </c>
      <c r="P18" s="22">
        <f>'Fee engine'!P20</f>
        <v>1.3620386643233744E-2</v>
      </c>
      <c r="Q18" s="22">
        <f>'Fee engine'!Q20</f>
        <v>7.3021425448185392E-2</v>
      </c>
      <c r="R18" s="23">
        <f t="shared" ref="R18:W18" si="1">IF(CHOOSE($D$4,ISBLANK(R19),ISBLANK(R20),ISBLANK(R21),ISBLANK(R22)),NA(),CHOOSE($D$4,R19,R20,R21,R22))</f>
        <v>1.4999999999999999E-2</v>
      </c>
      <c r="S18" s="23">
        <f t="shared" si="1"/>
        <v>1.4999999999999999E-2</v>
      </c>
      <c r="T18" s="23">
        <f t="shared" si="1"/>
        <v>1.4999999999999999E-2</v>
      </c>
      <c r="U18" s="23">
        <f t="shared" si="1"/>
        <v>1.4999999999999999E-2</v>
      </c>
      <c r="V18" s="23">
        <f t="shared" si="1"/>
        <v>1.4999999999999999E-2</v>
      </c>
      <c r="W18" s="23">
        <f t="shared" si="1"/>
        <v>1.4999999999999999E-2</v>
      </c>
    </row>
    <row r="19" spans="1:23" ht="19" customHeight="1">
      <c r="A19" s="2"/>
      <c r="B19" s="2"/>
      <c r="C19" s="2" t="s">
        <v>84</v>
      </c>
      <c r="D19" s="19"/>
      <c r="E19" s="19"/>
      <c r="F19" s="19"/>
      <c r="G19" s="19"/>
      <c r="H19" s="19"/>
      <c r="I19" s="19"/>
      <c r="J19" s="19"/>
      <c r="K19" s="19"/>
      <c r="L19" s="19"/>
      <c r="M19" s="19"/>
      <c r="N19" s="19"/>
      <c r="O19" s="19"/>
      <c r="P19" s="19"/>
      <c r="Q19" s="19"/>
      <c r="R19" s="20">
        <v>1.4999999999999999E-2</v>
      </c>
      <c r="S19" s="20">
        <v>1.4999999999999999E-2</v>
      </c>
      <c r="T19" s="20">
        <v>1.4999999999999999E-2</v>
      </c>
      <c r="U19" s="20">
        <v>1.4999999999999999E-2</v>
      </c>
      <c r="V19" s="20">
        <v>1.4999999999999999E-2</v>
      </c>
      <c r="W19" s="20">
        <v>1.4999999999999999E-2</v>
      </c>
    </row>
    <row r="20" spans="1:23" ht="19" customHeight="1">
      <c r="A20" s="2"/>
      <c r="B20" s="2"/>
      <c r="C20" s="2" t="s">
        <v>85</v>
      </c>
      <c r="D20" s="19"/>
      <c r="E20" s="19"/>
      <c r="F20" s="19"/>
      <c r="G20" s="19"/>
      <c r="H20" s="19"/>
      <c r="I20" s="19"/>
      <c r="J20" s="19"/>
      <c r="K20" s="19"/>
      <c r="L20" s="19"/>
      <c r="M20" s="19"/>
      <c r="N20" s="19"/>
      <c r="O20" s="19"/>
      <c r="P20" s="19"/>
      <c r="Q20" s="19"/>
      <c r="R20" s="20">
        <v>1.4999999999999999E-2</v>
      </c>
      <c r="S20" s="20">
        <v>1.4999999999999999E-2</v>
      </c>
      <c r="T20" s="20">
        <v>1.4999999999999999E-2</v>
      </c>
      <c r="U20" s="20">
        <v>1.4999999999999999E-2</v>
      </c>
      <c r="V20" s="20">
        <v>1.4999999999999999E-2</v>
      </c>
      <c r="W20" s="20">
        <v>1.4999999999999999E-2</v>
      </c>
    </row>
    <row r="21" spans="1:23" ht="19" customHeight="1">
      <c r="A21" s="2"/>
      <c r="B21" s="2"/>
      <c r="C21" s="2" t="s">
        <v>86</v>
      </c>
      <c r="D21" s="19"/>
      <c r="E21" s="19"/>
      <c r="F21" s="19"/>
      <c r="G21" s="19"/>
      <c r="H21" s="19"/>
      <c r="I21" s="19"/>
      <c r="J21" s="19"/>
      <c r="K21" s="19"/>
      <c r="L21" s="19"/>
      <c r="M21" s="19"/>
      <c r="N21" s="19"/>
      <c r="O21" s="19"/>
      <c r="P21" s="19"/>
      <c r="Q21" s="19"/>
      <c r="R21" s="20">
        <v>1.4999999999999999E-2</v>
      </c>
      <c r="S21" s="20">
        <v>1.4999999999999999E-2</v>
      </c>
      <c r="T21" s="20">
        <v>1.4999999999999999E-2</v>
      </c>
      <c r="U21" s="20">
        <v>1.4999999999999999E-2</v>
      </c>
      <c r="V21" s="20">
        <v>1.4999999999999999E-2</v>
      </c>
      <c r="W21" s="20">
        <v>1.4999999999999999E-2</v>
      </c>
    </row>
    <row r="22" spans="1:23" ht="19" customHeight="1">
      <c r="A22" s="2"/>
      <c r="B22" s="2"/>
      <c r="C22" s="2" t="s">
        <v>87</v>
      </c>
      <c r="D22" s="19"/>
      <c r="E22" s="19"/>
      <c r="F22" s="19"/>
      <c r="G22" s="19"/>
      <c r="H22" s="19"/>
      <c r="I22" s="19"/>
      <c r="J22" s="19"/>
      <c r="K22" s="19"/>
      <c r="L22" s="19"/>
      <c r="M22" s="19"/>
      <c r="N22" s="19"/>
      <c r="O22" s="19"/>
      <c r="P22" s="19"/>
      <c r="Q22" s="19"/>
      <c r="R22" s="20">
        <v>1.4999999999999999E-2</v>
      </c>
      <c r="S22" s="20">
        <v>1.4999999999999999E-2</v>
      </c>
      <c r="T22" s="20">
        <v>1.4999999999999999E-2</v>
      </c>
      <c r="U22" s="20">
        <v>1.4999999999999999E-2</v>
      </c>
      <c r="V22" s="20">
        <v>1.4999999999999999E-2</v>
      </c>
      <c r="W22" s="20">
        <v>1.4999999999999999E-2</v>
      </c>
    </row>
    <row r="23" spans="1:23" ht="19" customHeight="1">
      <c r="A23" s="2"/>
      <c r="B23" s="2"/>
      <c r="C23" s="2"/>
      <c r="D23" s="3"/>
      <c r="E23" s="3"/>
      <c r="F23" s="3"/>
      <c r="G23" s="3"/>
      <c r="H23" s="3"/>
      <c r="I23" s="3"/>
      <c r="J23" s="3"/>
      <c r="K23" s="3"/>
      <c r="L23" s="3"/>
      <c r="M23" s="3"/>
      <c r="N23" s="3"/>
      <c r="O23" s="3"/>
      <c r="P23" s="3"/>
      <c r="Q23" s="3"/>
      <c r="R23" s="3"/>
      <c r="S23" s="3"/>
      <c r="T23" s="3"/>
      <c r="U23" s="3"/>
      <c r="V23" s="3"/>
      <c r="W23" s="3"/>
    </row>
    <row r="24" spans="1:23" ht="19" customHeight="1">
      <c r="A24" s="2"/>
      <c r="B24" s="2"/>
      <c r="C24" s="11" t="s">
        <v>89</v>
      </c>
      <c r="D24" s="12"/>
      <c r="E24" s="12"/>
      <c r="F24" s="12"/>
      <c r="G24" s="12"/>
      <c r="H24" s="12"/>
      <c r="I24" s="12"/>
      <c r="J24" s="12"/>
      <c r="K24" s="12"/>
      <c r="L24" s="12"/>
      <c r="M24" s="12"/>
      <c r="N24" s="12"/>
      <c r="O24" s="12"/>
      <c r="P24" s="12"/>
      <c r="Q24" s="12"/>
      <c r="R24" s="12"/>
      <c r="S24" s="12"/>
      <c r="T24" s="12"/>
      <c r="U24" s="12"/>
      <c r="V24" s="12"/>
      <c r="W24" s="12"/>
    </row>
    <row r="25" spans="1:23" ht="19" customHeight="1">
      <c r="A25" s="2"/>
      <c r="B25" s="2"/>
      <c r="C25" s="21" t="s">
        <v>83</v>
      </c>
      <c r="D25" s="28">
        <f>'Fee engine'!D26</f>
        <v>62.970568104038328</v>
      </c>
      <c r="E25" s="28">
        <f>'Fee engine'!E26</f>
        <v>62.970568104038328</v>
      </c>
      <c r="F25" s="28">
        <f>'Fee engine'!F26</f>
        <v>62.718204488778063</v>
      </c>
      <c r="G25" s="28">
        <f>'Fee engine'!G26</f>
        <v>62.718204488778063</v>
      </c>
      <c r="H25" s="28">
        <f>'Fee engine'!H26</f>
        <v>63.233395495624741</v>
      </c>
      <c r="I25" s="28">
        <f>'Fee engine'!I26</f>
        <v>63.233395495624734</v>
      </c>
      <c r="J25" s="28">
        <f>'Fee engine'!J26</f>
        <v>62.704565030146433</v>
      </c>
      <c r="K25" s="28">
        <f>'Fee engine'!K26</f>
        <v>62.704565030146426</v>
      </c>
      <c r="L25" s="28">
        <f>'Fee engine'!L26</f>
        <v>58.492433884881891</v>
      </c>
      <c r="M25" s="28">
        <f>'Fee engine'!M26</f>
        <v>58.492433884881891</v>
      </c>
      <c r="N25" s="28">
        <f>'Fee engine'!N26</f>
        <v>52.786614822669961</v>
      </c>
      <c r="O25" s="28">
        <f>'Fee engine'!O26</f>
        <v>52.786614822669968</v>
      </c>
      <c r="P25" s="28">
        <f>'Fee engine'!P26</f>
        <v>53.441295546558713</v>
      </c>
      <c r="Q25" s="28">
        <f>'Fee engine'!Q26</f>
        <v>53.441295546558713</v>
      </c>
      <c r="R25" s="29">
        <f t="shared" ref="R25:W25" si="2">IF(CHOOSE($D$4,ISBLANK(R26),ISBLANK(R27),ISBLANK(R28),ISBLANK(R29)),NA(),CHOOSE($D$4,R26,R27,R28,R29))</f>
        <v>56</v>
      </c>
      <c r="S25" s="29">
        <f t="shared" si="2"/>
        <v>56</v>
      </c>
      <c r="T25" s="29">
        <f t="shared" si="2"/>
        <v>56</v>
      </c>
      <c r="U25" s="29">
        <f t="shared" si="2"/>
        <v>56</v>
      </c>
      <c r="V25" s="29">
        <f t="shared" si="2"/>
        <v>56</v>
      </c>
      <c r="W25" s="29">
        <f t="shared" si="2"/>
        <v>56</v>
      </c>
    </row>
    <row r="26" spans="1:23" ht="19" customHeight="1">
      <c r="A26" s="2"/>
      <c r="B26" s="2"/>
      <c r="C26" s="2" t="s">
        <v>84</v>
      </c>
      <c r="D26" s="25"/>
      <c r="E26" s="25"/>
      <c r="F26" s="25"/>
      <c r="G26" s="25"/>
      <c r="H26" s="25"/>
      <c r="I26" s="25"/>
      <c r="J26" s="25"/>
      <c r="K26" s="25"/>
      <c r="L26" s="25"/>
      <c r="M26" s="25"/>
      <c r="N26" s="25"/>
      <c r="O26" s="25"/>
      <c r="P26" s="25"/>
      <c r="Q26" s="25"/>
      <c r="R26" s="26">
        <f t="shared" ref="R26:W26" si="3">$D$50</f>
        <v>56</v>
      </c>
      <c r="S26" s="26">
        <f t="shared" si="3"/>
        <v>56</v>
      </c>
      <c r="T26" s="26">
        <f t="shared" si="3"/>
        <v>56</v>
      </c>
      <c r="U26" s="26">
        <f t="shared" si="3"/>
        <v>56</v>
      </c>
      <c r="V26" s="26">
        <f t="shared" si="3"/>
        <v>56</v>
      </c>
      <c r="W26" s="26">
        <f t="shared" si="3"/>
        <v>56</v>
      </c>
    </row>
    <row r="27" spans="1:23" ht="19" customHeight="1">
      <c r="A27" s="2"/>
      <c r="B27" s="2"/>
      <c r="C27" s="2" t="s">
        <v>85</v>
      </c>
      <c r="D27" s="25"/>
      <c r="E27" s="25"/>
      <c r="F27" s="25"/>
      <c r="G27" s="25"/>
      <c r="H27" s="25"/>
      <c r="I27" s="25"/>
      <c r="J27" s="25"/>
      <c r="K27" s="25"/>
      <c r="L27" s="25"/>
      <c r="M27" s="25"/>
      <c r="N27" s="25"/>
      <c r="O27" s="25"/>
      <c r="P27" s="25"/>
      <c r="Q27" s="25"/>
      <c r="R27" s="27">
        <v>52</v>
      </c>
      <c r="S27" s="27">
        <v>52</v>
      </c>
      <c r="T27" s="27">
        <v>52</v>
      </c>
      <c r="U27" s="27">
        <v>52</v>
      </c>
      <c r="V27" s="27">
        <v>52</v>
      </c>
      <c r="W27" s="27">
        <v>52</v>
      </c>
    </row>
    <row r="28" spans="1:23" ht="19" customHeight="1">
      <c r="A28" s="2"/>
      <c r="B28" s="2"/>
      <c r="C28" s="2" t="s">
        <v>86</v>
      </c>
      <c r="D28" s="25"/>
      <c r="E28" s="25"/>
      <c r="F28" s="25"/>
      <c r="G28" s="25"/>
      <c r="H28" s="25"/>
      <c r="I28" s="25"/>
      <c r="J28" s="25"/>
      <c r="K28" s="25"/>
      <c r="L28" s="25"/>
      <c r="M28" s="25"/>
      <c r="N28" s="25"/>
      <c r="O28" s="25"/>
      <c r="P28" s="25"/>
      <c r="Q28" s="25"/>
      <c r="R28" s="27">
        <v>58</v>
      </c>
      <c r="S28" s="27">
        <v>58</v>
      </c>
      <c r="T28" s="27">
        <v>58</v>
      </c>
      <c r="U28" s="27">
        <v>58</v>
      </c>
      <c r="V28" s="27">
        <v>58</v>
      </c>
      <c r="W28" s="27">
        <v>58</v>
      </c>
    </row>
    <row r="29" spans="1:23" ht="19" customHeight="1">
      <c r="A29" s="2"/>
      <c r="B29" s="2"/>
      <c r="C29" s="2" t="s">
        <v>87</v>
      </c>
      <c r="D29" s="25"/>
      <c r="E29" s="25"/>
      <c r="F29" s="25"/>
      <c r="G29" s="25"/>
      <c r="H29" s="25"/>
      <c r="I29" s="25"/>
      <c r="J29" s="25"/>
      <c r="K29" s="25"/>
      <c r="L29" s="25"/>
      <c r="M29" s="25"/>
      <c r="N29" s="25"/>
      <c r="O29" s="25"/>
      <c r="P29" s="25"/>
      <c r="Q29" s="25"/>
      <c r="R29" s="26">
        <f t="shared" ref="R29:W29" si="4">$D$50</f>
        <v>56</v>
      </c>
      <c r="S29" s="26">
        <f t="shared" si="4"/>
        <v>56</v>
      </c>
      <c r="T29" s="26">
        <f t="shared" si="4"/>
        <v>56</v>
      </c>
      <c r="U29" s="26">
        <f t="shared" si="4"/>
        <v>56</v>
      </c>
      <c r="V29" s="26">
        <f t="shared" si="4"/>
        <v>56</v>
      </c>
      <c r="W29" s="26">
        <f t="shared" si="4"/>
        <v>56</v>
      </c>
    </row>
    <row r="30" spans="1:23" ht="19" customHeight="1">
      <c r="A30" s="2"/>
      <c r="B30" s="2"/>
      <c r="C30" s="2"/>
      <c r="D30" s="3"/>
      <c r="E30" s="3"/>
      <c r="F30" s="3"/>
      <c r="G30" s="3"/>
      <c r="H30" s="3"/>
      <c r="I30" s="3"/>
      <c r="J30" s="3"/>
      <c r="K30" s="3"/>
      <c r="L30" s="3"/>
      <c r="M30" s="3"/>
      <c r="N30" s="3"/>
      <c r="O30" s="3"/>
      <c r="P30" s="3"/>
      <c r="Q30" s="3"/>
      <c r="R30" s="3"/>
      <c r="S30" s="3"/>
      <c r="T30" s="3"/>
      <c r="U30" s="3"/>
      <c r="V30" s="3"/>
      <c r="W30" s="3"/>
    </row>
    <row r="31" spans="1:23" ht="19" customHeight="1">
      <c r="A31" s="2"/>
      <c r="B31" s="2"/>
      <c r="C31" s="11" t="s">
        <v>90</v>
      </c>
      <c r="D31" s="12"/>
      <c r="E31" s="12"/>
      <c r="F31" s="12"/>
      <c r="G31" s="12"/>
      <c r="H31" s="12"/>
      <c r="I31" s="12"/>
      <c r="J31" s="12"/>
      <c r="K31" s="12"/>
      <c r="L31" s="12"/>
      <c r="M31" s="12"/>
      <c r="N31" s="12"/>
      <c r="O31" s="12"/>
      <c r="P31" s="12"/>
      <c r="Q31" s="12"/>
      <c r="R31" s="12"/>
      <c r="S31" s="12"/>
      <c r="T31" s="12"/>
      <c r="U31" s="12"/>
      <c r="V31" s="12"/>
      <c r="W31" s="12"/>
    </row>
    <row r="32" spans="1:23" ht="19" customHeight="1">
      <c r="A32" s="2"/>
      <c r="B32" s="2"/>
      <c r="C32" s="21" t="s">
        <v>83</v>
      </c>
      <c r="D32" s="31">
        <f>'Fee engine'!D28</f>
        <v>3.2</v>
      </c>
      <c r="E32" s="31">
        <f>'Fee engine'!E28</f>
        <v>28.8</v>
      </c>
      <c r="F32" s="31">
        <f>'Fee engine'!F28</f>
        <v>14.8</v>
      </c>
      <c r="G32" s="31">
        <f>'Fee engine'!G28</f>
        <v>133.20000000000002</v>
      </c>
      <c r="H32" s="31">
        <f>'Fee engine'!H28</f>
        <v>17</v>
      </c>
      <c r="I32" s="31">
        <f>'Fee engine'!I28</f>
        <v>153</v>
      </c>
      <c r="J32" s="31">
        <f>'Fee engine'!J28</f>
        <v>14</v>
      </c>
      <c r="K32" s="31">
        <f>'Fee engine'!K28</f>
        <v>126</v>
      </c>
      <c r="L32" s="31">
        <f>'Fee engine'!L28</f>
        <v>6.7</v>
      </c>
      <c r="M32" s="31">
        <f>'Fee engine'!M28</f>
        <v>60.300000000000004</v>
      </c>
      <c r="N32" s="31">
        <f>'Fee engine'!N28</f>
        <v>21.400000000000002</v>
      </c>
      <c r="O32" s="31">
        <f>'Fee engine'!O28</f>
        <v>192.6</v>
      </c>
      <c r="P32" s="31">
        <f>'Fee engine'!P28</f>
        <v>20.700000000000003</v>
      </c>
      <c r="Q32" s="31">
        <f>'Fee engine'!Q28</f>
        <v>186.3</v>
      </c>
      <c r="R32" s="32">
        <f t="shared" ref="R32:W32" si="5">IF(CHOOSE($D$4,ISBLANK(R33),ISBLANK(R34),ISBLANK(R35),ISBLANK(R36)),NA(),CHOOSE($D$4,R33,R34,R35,R36))</f>
        <v>21.400000000000002</v>
      </c>
      <c r="S32" s="32">
        <f t="shared" si="5"/>
        <v>192.6</v>
      </c>
      <c r="T32" s="32">
        <f t="shared" si="5"/>
        <v>6.7</v>
      </c>
      <c r="U32" s="32">
        <f t="shared" si="5"/>
        <v>60.300000000000004</v>
      </c>
      <c r="V32" s="32">
        <f t="shared" si="5"/>
        <v>21.400000000000002</v>
      </c>
      <c r="W32" s="32">
        <f t="shared" si="5"/>
        <v>192.6</v>
      </c>
    </row>
    <row r="33" spans="1:23" ht="19" customHeight="1">
      <c r="A33" s="2"/>
      <c r="B33" s="2"/>
      <c r="C33" s="2" t="s">
        <v>84</v>
      </c>
      <c r="D33" s="3"/>
      <c r="E33" s="3"/>
      <c r="F33" s="3"/>
      <c r="G33" s="3"/>
      <c r="H33" s="3"/>
      <c r="I33" s="3"/>
      <c r="J33" s="3"/>
      <c r="K33" s="3"/>
      <c r="L33" s="3"/>
      <c r="M33" s="3"/>
      <c r="N33" s="3"/>
      <c r="O33" s="3"/>
      <c r="P33" s="3"/>
      <c r="Q33" s="3"/>
      <c r="R33" s="30">
        <f>'Fee engine'!N28*$D$44</f>
        <v>21.400000000000002</v>
      </c>
      <c r="S33" s="30">
        <f>'Fee engine'!O28*$D$44</f>
        <v>192.6</v>
      </c>
      <c r="T33" s="30">
        <f>'Fee engine'!L28*$D$44</f>
        <v>6.7</v>
      </c>
      <c r="U33" s="30">
        <f>'Fee engine'!M28*$D$44</f>
        <v>60.300000000000004</v>
      </c>
      <c r="V33" s="30">
        <f>'Fee engine'!N28*$D$44</f>
        <v>21.400000000000002</v>
      </c>
      <c r="W33" s="30">
        <f>'Fee engine'!O28*$D$44</f>
        <v>192.6</v>
      </c>
    </row>
    <row r="34" spans="1:23" ht="19" customHeight="1">
      <c r="A34" s="2"/>
      <c r="B34" s="2"/>
      <c r="C34" s="2" t="s">
        <v>85</v>
      </c>
      <c r="D34" s="3"/>
      <c r="E34" s="3"/>
      <c r="F34" s="3"/>
      <c r="G34" s="3"/>
      <c r="H34" s="3"/>
      <c r="I34" s="3"/>
      <c r="J34" s="3"/>
      <c r="K34" s="3"/>
      <c r="L34" s="3"/>
      <c r="M34" s="3"/>
      <c r="N34" s="3"/>
      <c r="O34" s="3"/>
      <c r="P34" s="3"/>
      <c r="Q34" s="3"/>
      <c r="R34" s="30">
        <f>'Fee engine'!N28*$D$45</f>
        <v>10.700000000000001</v>
      </c>
      <c r="S34" s="30">
        <f>'Fee engine'!O28*$D$45</f>
        <v>96.3</v>
      </c>
      <c r="T34" s="30">
        <f>'Fee engine'!L28*$D$45</f>
        <v>3.35</v>
      </c>
      <c r="U34" s="30">
        <f>'Fee engine'!M28*$D$45</f>
        <v>30.150000000000002</v>
      </c>
      <c r="V34" s="30">
        <f>'Fee engine'!N28*$D$45</f>
        <v>10.700000000000001</v>
      </c>
      <c r="W34" s="30">
        <f>'Fee engine'!O28*$D$45</f>
        <v>96.3</v>
      </c>
    </row>
    <row r="35" spans="1:23" ht="19" customHeight="1">
      <c r="A35" s="2"/>
      <c r="B35" s="2"/>
      <c r="C35" s="2" t="s">
        <v>86</v>
      </c>
      <c r="D35" s="3"/>
      <c r="E35" s="3"/>
      <c r="F35" s="3"/>
      <c r="G35" s="3"/>
      <c r="H35" s="3"/>
      <c r="I35" s="3"/>
      <c r="J35" s="3"/>
      <c r="K35" s="3"/>
      <c r="L35" s="3"/>
      <c r="M35" s="3"/>
      <c r="N35" s="3"/>
      <c r="O35" s="3"/>
      <c r="P35" s="3"/>
      <c r="Q35" s="3"/>
      <c r="R35" s="30">
        <f>'Fee engine'!N28*$D$46</f>
        <v>32.1</v>
      </c>
      <c r="S35" s="30">
        <f>'Fee engine'!O28*$D$46</f>
        <v>288.89999999999998</v>
      </c>
      <c r="T35" s="30">
        <f>'Fee engine'!L28*$D$46</f>
        <v>10.050000000000001</v>
      </c>
      <c r="U35" s="30">
        <f>'Fee engine'!M28*$D$46</f>
        <v>90.45</v>
      </c>
      <c r="V35" s="30">
        <f>'Fee engine'!N28*$D$46</f>
        <v>32.1</v>
      </c>
      <c r="W35" s="30">
        <f>'Fee engine'!O28*$D$46</f>
        <v>288.89999999999998</v>
      </c>
    </row>
    <row r="36" spans="1:23" ht="19" customHeight="1">
      <c r="A36" s="2"/>
      <c r="B36" s="2"/>
      <c r="C36" s="2" t="s">
        <v>87</v>
      </c>
      <c r="D36" s="3"/>
      <c r="E36" s="3"/>
      <c r="F36" s="3"/>
      <c r="G36" s="3"/>
      <c r="H36" s="3"/>
      <c r="I36" s="3"/>
      <c r="J36" s="3"/>
      <c r="K36" s="3"/>
      <c r="L36" s="3"/>
      <c r="M36" s="3"/>
      <c r="N36" s="3"/>
      <c r="O36" s="3"/>
      <c r="P36" s="3"/>
      <c r="Q36" s="3"/>
      <c r="R36" s="17">
        <v>0</v>
      </c>
      <c r="S36" s="17">
        <v>0</v>
      </c>
      <c r="T36" s="17">
        <v>0</v>
      </c>
      <c r="U36" s="17">
        <v>0</v>
      </c>
      <c r="V36" s="17">
        <v>0</v>
      </c>
      <c r="W36" s="17">
        <v>0</v>
      </c>
    </row>
    <row r="37" spans="1:23" ht="19" customHeight="1">
      <c r="A37" s="2"/>
      <c r="B37" s="2"/>
      <c r="C37" s="2"/>
      <c r="D37" s="3"/>
      <c r="E37" s="3"/>
      <c r="F37" s="3"/>
      <c r="G37" s="3"/>
      <c r="H37" s="3"/>
      <c r="I37" s="3"/>
      <c r="J37" s="3"/>
      <c r="K37" s="3"/>
      <c r="L37" s="3"/>
      <c r="M37" s="3"/>
      <c r="N37" s="3"/>
      <c r="O37" s="3"/>
      <c r="P37" s="3"/>
      <c r="Q37" s="3"/>
      <c r="R37" s="3"/>
      <c r="S37" s="3"/>
      <c r="T37" s="3"/>
      <c r="U37" s="3"/>
      <c r="V37" s="3"/>
      <c r="W37" s="3"/>
    </row>
    <row r="38" spans="1:23" ht="19" customHeight="1">
      <c r="A38" s="2"/>
      <c r="B38" s="2"/>
      <c r="C38" s="2"/>
      <c r="D38" s="3"/>
      <c r="E38" s="3"/>
      <c r="F38" s="3"/>
      <c r="G38" s="3"/>
      <c r="H38" s="3"/>
      <c r="I38" s="3"/>
      <c r="J38" s="3"/>
      <c r="K38" s="3"/>
      <c r="L38" s="3"/>
      <c r="M38" s="3"/>
      <c r="N38" s="3"/>
      <c r="O38" s="3"/>
      <c r="P38" s="3"/>
      <c r="Q38" s="3"/>
      <c r="R38" s="3"/>
      <c r="S38" s="3"/>
      <c r="T38" s="3"/>
      <c r="U38" s="3"/>
      <c r="V38" s="3"/>
      <c r="W38" s="3"/>
    </row>
    <row r="39" spans="1:23" ht="19" customHeight="1">
      <c r="A39" s="2"/>
      <c r="B39" s="2"/>
      <c r="C39" s="2"/>
      <c r="D39" s="3"/>
      <c r="E39" s="3"/>
      <c r="F39" s="3"/>
      <c r="G39" s="3"/>
      <c r="H39" s="3"/>
      <c r="I39" s="3"/>
      <c r="J39" s="3"/>
      <c r="K39" s="3"/>
      <c r="L39" s="3"/>
      <c r="M39" s="3"/>
      <c r="N39" s="3"/>
      <c r="O39" s="3"/>
      <c r="P39" s="3"/>
      <c r="Q39" s="3"/>
      <c r="R39" s="3"/>
      <c r="S39" s="3"/>
      <c r="T39" s="3"/>
      <c r="U39" s="3"/>
      <c r="V39" s="3"/>
      <c r="W39" s="3"/>
    </row>
    <row r="40" spans="1:23" ht="19" customHeight="1">
      <c r="A40" s="2"/>
      <c r="B40" s="2"/>
      <c r="C40" s="11" t="s">
        <v>91</v>
      </c>
      <c r="D40" s="12"/>
      <c r="E40" s="12"/>
      <c r="F40" s="12"/>
      <c r="G40" s="12"/>
      <c r="H40" s="12"/>
      <c r="I40" s="12"/>
      <c r="J40" s="12"/>
      <c r="K40" s="12"/>
      <c r="L40" s="3"/>
      <c r="M40" s="3"/>
      <c r="N40" s="3"/>
      <c r="O40" s="3"/>
      <c r="P40" s="3"/>
      <c r="Q40" s="3"/>
      <c r="R40" s="3"/>
      <c r="S40" s="3"/>
      <c r="T40" s="3"/>
      <c r="U40" s="3"/>
      <c r="V40" s="3"/>
      <c r="W40" s="3"/>
    </row>
    <row r="41" spans="1:23" ht="19" customHeight="1">
      <c r="A41" s="2"/>
      <c r="B41" s="2"/>
      <c r="C41" s="2" t="s">
        <v>92</v>
      </c>
      <c r="D41" s="33">
        <v>0.1</v>
      </c>
      <c r="E41" s="3"/>
      <c r="F41" s="3"/>
      <c r="G41" s="3"/>
      <c r="H41" s="3"/>
      <c r="I41" s="3"/>
      <c r="J41" s="3"/>
      <c r="K41" s="3"/>
      <c r="L41" s="3"/>
      <c r="M41" s="3"/>
      <c r="N41" s="3"/>
      <c r="O41" s="3"/>
      <c r="P41" s="3"/>
      <c r="Q41" s="3"/>
      <c r="R41" s="3"/>
      <c r="S41" s="3"/>
      <c r="T41" s="3"/>
      <c r="U41" s="3"/>
      <c r="V41" s="3"/>
      <c r="W41" s="3"/>
    </row>
    <row r="42" spans="1:23" ht="19" customHeight="1">
      <c r="A42" s="2"/>
      <c r="B42" s="2"/>
      <c r="C42" s="2" t="s">
        <v>93</v>
      </c>
      <c r="D42" s="33">
        <v>0.1</v>
      </c>
      <c r="E42" s="3"/>
      <c r="F42" s="3"/>
      <c r="G42" s="3"/>
      <c r="H42" s="3"/>
      <c r="I42" s="3"/>
      <c r="J42" s="3"/>
      <c r="K42" s="3"/>
      <c r="L42" s="3"/>
      <c r="M42" s="3"/>
      <c r="N42" s="3"/>
      <c r="O42" s="3"/>
      <c r="P42" s="3"/>
      <c r="Q42" s="3"/>
      <c r="R42" s="3"/>
      <c r="S42" s="3"/>
      <c r="T42" s="3"/>
      <c r="U42" s="3"/>
      <c r="V42" s="3"/>
      <c r="W42" s="3"/>
    </row>
    <row r="43" spans="1:23" ht="19" customHeight="1">
      <c r="A43" s="2"/>
      <c r="B43" s="2"/>
      <c r="C43" s="2" t="s">
        <v>94</v>
      </c>
      <c r="D43" s="33">
        <v>0.5</v>
      </c>
      <c r="E43" s="3"/>
      <c r="F43" s="3"/>
      <c r="G43" s="3"/>
      <c r="H43" s="3"/>
      <c r="I43" s="3"/>
      <c r="J43" s="3"/>
      <c r="K43" s="3"/>
      <c r="L43" s="3"/>
      <c r="M43" s="3"/>
      <c r="N43" s="3"/>
      <c r="O43" s="3"/>
      <c r="P43" s="3"/>
      <c r="Q43" s="3"/>
      <c r="R43" s="3"/>
      <c r="S43" s="3"/>
      <c r="T43" s="3"/>
      <c r="U43" s="3"/>
      <c r="V43" s="3"/>
      <c r="W43" s="3"/>
    </row>
    <row r="44" spans="1:23" ht="19" customHeight="1">
      <c r="A44" s="2"/>
      <c r="B44" s="2"/>
      <c r="C44" s="2" t="s">
        <v>95</v>
      </c>
      <c r="D44" s="34">
        <v>1</v>
      </c>
      <c r="E44" s="3"/>
      <c r="F44" s="3"/>
      <c r="G44" s="3"/>
      <c r="H44" s="3"/>
      <c r="I44" s="3"/>
      <c r="J44" s="3"/>
      <c r="K44" s="3"/>
      <c r="L44" s="3"/>
      <c r="M44" s="3"/>
      <c r="N44" s="3"/>
      <c r="O44" s="3"/>
      <c r="P44" s="3"/>
      <c r="Q44" s="3"/>
      <c r="R44" s="3"/>
      <c r="S44" s="3"/>
      <c r="T44" s="3"/>
      <c r="U44" s="3"/>
      <c r="V44" s="3"/>
      <c r="W44" s="3"/>
    </row>
    <row r="45" spans="1:23" ht="19" customHeight="1">
      <c r="A45" s="2"/>
      <c r="B45" s="2"/>
      <c r="C45" s="2" t="s">
        <v>96</v>
      </c>
      <c r="D45" s="34">
        <v>0.5</v>
      </c>
      <c r="E45" s="3"/>
      <c r="F45" s="3"/>
      <c r="G45" s="3"/>
      <c r="H45" s="3"/>
      <c r="I45" s="3"/>
      <c r="J45" s="3"/>
      <c r="K45" s="3"/>
      <c r="L45" s="3"/>
      <c r="M45" s="3"/>
      <c r="N45" s="3"/>
      <c r="O45" s="3"/>
      <c r="P45" s="3"/>
      <c r="Q45" s="3"/>
      <c r="R45" s="3"/>
      <c r="S45" s="3"/>
      <c r="T45" s="3"/>
      <c r="U45" s="3"/>
      <c r="V45" s="3"/>
      <c r="W45" s="3"/>
    </row>
    <row r="46" spans="1:23" ht="19" customHeight="1">
      <c r="A46" s="2"/>
      <c r="B46" s="2"/>
      <c r="C46" s="2" t="s">
        <v>97</v>
      </c>
      <c r="D46" s="34">
        <v>1.5</v>
      </c>
      <c r="E46" s="3"/>
      <c r="F46" s="3"/>
      <c r="G46" s="3"/>
      <c r="H46" s="3"/>
      <c r="I46" s="3"/>
      <c r="J46" s="3"/>
      <c r="K46" s="3"/>
      <c r="L46" s="3"/>
      <c r="M46" s="3"/>
      <c r="N46" s="3"/>
      <c r="O46" s="3"/>
      <c r="P46" s="3"/>
      <c r="Q46" s="3"/>
      <c r="R46" s="3"/>
      <c r="S46" s="3"/>
      <c r="T46" s="3"/>
      <c r="U46" s="3"/>
      <c r="V46" s="3"/>
      <c r="W46" s="3"/>
    </row>
    <row r="47" spans="1:23" ht="19" customHeight="1">
      <c r="A47" s="2"/>
      <c r="B47" s="2"/>
      <c r="C47" s="2"/>
      <c r="D47" s="3"/>
      <c r="E47" s="3"/>
      <c r="F47" s="3"/>
      <c r="G47" s="3"/>
      <c r="H47" s="3"/>
      <c r="I47" s="3"/>
      <c r="J47" s="3"/>
      <c r="K47" s="3"/>
      <c r="L47" s="3"/>
      <c r="M47" s="3"/>
      <c r="N47" s="3"/>
      <c r="O47" s="3"/>
      <c r="P47" s="3"/>
      <c r="Q47" s="3"/>
      <c r="R47" s="3"/>
      <c r="S47" s="3"/>
      <c r="T47" s="3"/>
      <c r="U47" s="3"/>
      <c r="V47" s="3"/>
      <c r="W47" s="3"/>
    </row>
    <row r="48" spans="1:23" ht="19" customHeight="1">
      <c r="A48" s="2"/>
      <c r="B48" s="2"/>
      <c r="C48" s="2" t="s">
        <v>98</v>
      </c>
      <c r="D48" s="33">
        <v>0.25</v>
      </c>
      <c r="E48" s="3"/>
      <c r="F48" s="3"/>
      <c r="G48" s="3"/>
      <c r="H48" s="3"/>
      <c r="I48" s="3"/>
      <c r="J48" s="3"/>
      <c r="K48" s="3"/>
      <c r="L48" s="3"/>
      <c r="M48" s="3"/>
      <c r="N48" s="3"/>
      <c r="O48" s="3"/>
      <c r="P48" s="3"/>
      <c r="Q48" s="3"/>
      <c r="R48" s="3"/>
      <c r="S48" s="3"/>
      <c r="T48" s="3"/>
      <c r="U48" s="3"/>
      <c r="V48" s="3"/>
      <c r="W48" s="3"/>
    </row>
    <row r="49" spans="1:23" ht="19" customHeight="1">
      <c r="A49" s="2"/>
      <c r="B49" s="2"/>
      <c r="C49" s="2" t="s">
        <v>99</v>
      </c>
      <c r="D49" s="35">
        <v>1000</v>
      </c>
      <c r="E49" s="3"/>
      <c r="F49" s="3"/>
      <c r="G49" s="3"/>
      <c r="H49" s="3"/>
      <c r="I49" s="3"/>
      <c r="J49" s="3"/>
      <c r="K49" s="3"/>
      <c r="L49" s="3"/>
      <c r="M49" s="3"/>
      <c r="N49" s="3"/>
      <c r="O49" s="3"/>
      <c r="P49" s="3"/>
      <c r="Q49" s="3"/>
      <c r="R49" s="3"/>
      <c r="S49" s="3"/>
      <c r="T49" s="3"/>
      <c r="U49" s="3"/>
      <c r="V49" s="3"/>
      <c r="W49" s="3"/>
    </row>
    <row r="50" spans="1:23" ht="19" customHeight="1">
      <c r="A50" s="2"/>
      <c r="B50" s="2"/>
      <c r="C50" s="2" t="s">
        <v>100</v>
      </c>
      <c r="D50" s="24">
        <f>Disclosures!I45</f>
        <v>56</v>
      </c>
      <c r="E50" s="3"/>
      <c r="F50" s="3"/>
      <c r="G50" s="3"/>
      <c r="H50" s="3"/>
      <c r="I50" s="3"/>
      <c r="J50" s="3"/>
      <c r="K50" s="3"/>
      <c r="L50" s="3"/>
      <c r="M50" s="3"/>
      <c r="N50" s="3"/>
      <c r="O50" s="3"/>
      <c r="P50" s="3"/>
      <c r="Q50" s="3"/>
      <c r="R50" s="3"/>
      <c r="S50" s="3"/>
      <c r="T50" s="3"/>
      <c r="U50" s="3"/>
      <c r="V50" s="3"/>
      <c r="W50" s="3"/>
    </row>
    <row r="51" spans="1:23" ht="19" customHeight="1">
      <c r="A51" s="2"/>
      <c r="B51" s="2"/>
      <c r="C51" s="2" t="s">
        <v>101</v>
      </c>
      <c r="D51" s="18">
        <f>(Disclosures!I28-Disclosures!I27)/Disclosures!I22</f>
        <v>0.19220055710306408</v>
      </c>
      <c r="E51" s="3"/>
      <c r="F51" s="3"/>
      <c r="G51" s="3"/>
      <c r="H51" s="3"/>
      <c r="I51" s="3"/>
      <c r="J51" s="3"/>
      <c r="K51" s="3"/>
      <c r="L51" s="3"/>
      <c r="M51" s="3"/>
      <c r="N51" s="3"/>
      <c r="O51" s="3"/>
      <c r="P51" s="3"/>
      <c r="Q51" s="3"/>
      <c r="R51" s="3"/>
      <c r="S51" s="3"/>
      <c r="T51" s="3"/>
      <c r="U51" s="3"/>
      <c r="V51" s="3"/>
      <c r="W51" s="3"/>
    </row>
    <row r="52" spans="1:23" ht="19" customHeight="1">
      <c r="A52" s="2"/>
      <c r="B52" s="2"/>
      <c r="C52" s="2" t="s">
        <v>102</v>
      </c>
      <c r="D52" s="18">
        <f>Disclosures!I29/SUM(Disclosures!I23,Disclosures!I24)</f>
        <v>0.60815047021943569</v>
      </c>
      <c r="E52" s="3"/>
      <c r="F52" s="3"/>
      <c r="G52" s="3"/>
      <c r="H52" s="3"/>
      <c r="I52" s="3"/>
      <c r="J52" s="3"/>
      <c r="K52" s="3"/>
      <c r="L52" s="3"/>
      <c r="M52" s="3"/>
      <c r="N52" s="3"/>
      <c r="O52" s="3"/>
      <c r="P52" s="3"/>
      <c r="Q52" s="3"/>
      <c r="R52" s="3"/>
      <c r="S52" s="3"/>
      <c r="T52" s="3"/>
      <c r="U52" s="3"/>
      <c r="V52" s="3"/>
      <c r="W52" s="3"/>
    </row>
    <row r="53" spans="1:23" ht="19" customHeight="1">
      <c r="A53" s="2"/>
      <c r="B53" s="2"/>
      <c r="C53" s="2" t="s">
        <v>103</v>
      </c>
      <c r="D53" s="24">
        <f>Disclosures!I26/AVERAGE('Fee engine'!L18:O18)/$D$49*$D$60</f>
        <v>3.7536958477953459</v>
      </c>
      <c r="E53" s="3"/>
      <c r="F53" s="3"/>
      <c r="G53" s="3"/>
      <c r="H53" s="3"/>
      <c r="I53" s="3"/>
      <c r="J53" s="3"/>
      <c r="K53" s="3"/>
      <c r="L53" s="3"/>
      <c r="M53" s="3"/>
      <c r="N53" s="3"/>
      <c r="O53" s="3"/>
      <c r="P53" s="3"/>
      <c r="Q53" s="3"/>
      <c r="R53" s="3"/>
      <c r="S53" s="3"/>
      <c r="T53" s="3"/>
      <c r="U53" s="3"/>
      <c r="V53" s="3"/>
      <c r="W53" s="3"/>
    </row>
    <row r="54" spans="1:23" ht="19" customHeight="1">
      <c r="A54" s="2"/>
      <c r="B54" s="2"/>
      <c r="C54" s="2" t="s">
        <v>104</v>
      </c>
      <c r="D54" s="7">
        <f>Disclosures!I27*$D$48</f>
        <v>68.5</v>
      </c>
      <c r="E54" s="3"/>
      <c r="F54" s="3"/>
      <c r="G54" s="3"/>
      <c r="H54" s="3"/>
      <c r="I54" s="3"/>
      <c r="J54" s="3"/>
      <c r="K54" s="3"/>
      <c r="L54" s="3"/>
      <c r="M54" s="3"/>
      <c r="N54" s="3"/>
      <c r="O54" s="3"/>
      <c r="P54" s="3"/>
      <c r="Q54" s="3"/>
      <c r="R54" s="3"/>
      <c r="S54" s="3"/>
      <c r="T54" s="3"/>
      <c r="U54" s="3"/>
      <c r="V54" s="3"/>
      <c r="W54" s="3"/>
    </row>
    <row r="55" spans="1:23" ht="19" customHeight="1">
      <c r="A55" s="2"/>
      <c r="B55" s="2"/>
      <c r="C55" s="2" t="s">
        <v>105</v>
      </c>
      <c r="D55" s="7">
        <f>Disclosures!I30*$D$48</f>
        <v>53.75</v>
      </c>
      <c r="E55" s="3"/>
      <c r="F55" s="3"/>
      <c r="G55" s="3"/>
      <c r="H55" s="3"/>
      <c r="I55" s="3"/>
      <c r="J55" s="3"/>
      <c r="K55" s="3"/>
      <c r="L55" s="3"/>
      <c r="M55" s="3"/>
      <c r="N55" s="3"/>
      <c r="O55" s="3"/>
      <c r="P55" s="3"/>
      <c r="Q55" s="3"/>
      <c r="R55" s="3"/>
      <c r="S55" s="3"/>
      <c r="T55" s="3"/>
      <c r="U55" s="3"/>
      <c r="V55" s="3"/>
      <c r="W55" s="3"/>
    </row>
    <row r="56" spans="1:23" ht="19" customHeight="1">
      <c r="A56" s="2"/>
      <c r="B56" s="2"/>
      <c r="C56" s="2" t="s">
        <v>106</v>
      </c>
      <c r="D56" s="18">
        <f>Disclosures!I39/Disclosures!I38</f>
        <v>0.2113022113022113</v>
      </c>
      <c r="E56" s="3"/>
      <c r="F56" s="3"/>
      <c r="G56" s="3"/>
      <c r="H56" s="3"/>
      <c r="I56" s="3"/>
      <c r="J56" s="3"/>
      <c r="K56" s="3"/>
      <c r="L56" s="3"/>
      <c r="M56" s="3"/>
      <c r="N56" s="3"/>
      <c r="O56" s="3"/>
      <c r="P56" s="3"/>
      <c r="Q56" s="3"/>
      <c r="R56" s="3"/>
      <c r="S56" s="3"/>
      <c r="T56" s="3"/>
      <c r="U56" s="3"/>
      <c r="V56" s="3"/>
      <c r="W56" s="3"/>
    </row>
    <row r="57" spans="1:23" ht="19" customHeight="1">
      <c r="A57" s="2"/>
      <c r="B57" s="2"/>
      <c r="C57" s="2" t="s">
        <v>107</v>
      </c>
      <c r="D57" s="36">
        <f>Disclosures!I41</f>
        <v>1164.8773679999999</v>
      </c>
      <c r="E57" s="3"/>
      <c r="F57" s="3"/>
      <c r="G57" s="3"/>
      <c r="H57" s="3"/>
      <c r="I57" s="3"/>
      <c r="J57" s="3"/>
      <c r="K57" s="3"/>
      <c r="L57" s="3"/>
      <c r="M57" s="3"/>
      <c r="N57" s="3"/>
      <c r="O57" s="3"/>
      <c r="P57" s="3"/>
      <c r="Q57" s="3"/>
      <c r="R57" s="3"/>
      <c r="S57" s="3"/>
      <c r="T57" s="3"/>
      <c r="U57" s="3"/>
      <c r="V57" s="3"/>
      <c r="W57" s="3"/>
    </row>
    <row r="58" spans="1:23" ht="19" customHeight="1">
      <c r="A58" s="2"/>
      <c r="B58" s="2"/>
      <c r="C58" s="2" t="s">
        <v>108</v>
      </c>
      <c r="D58" s="7">
        <f>Disclosures!I24*$D$48</f>
        <v>9.5</v>
      </c>
      <c r="E58" s="3"/>
      <c r="F58" s="3"/>
      <c r="G58" s="3"/>
      <c r="H58" s="3"/>
      <c r="I58" s="3"/>
      <c r="J58" s="3"/>
      <c r="K58" s="3"/>
      <c r="L58" s="3"/>
      <c r="M58" s="3"/>
      <c r="N58" s="3"/>
      <c r="O58" s="3"/>
      <c r="P58" s="3"/>
      <c r="Q58" s="3"/>
      <c r="R58" s="3"/>
      <c r="S58" s="3"/>
      <c r="T58" s="3"/>
      <c r="U58" s="3"/>
      <c r="V58" s="3"/>
      <c r="W58" s="3"/>
    </row>
    <row r="59" spans="1:23" ht="19" customHeight="1">
      <c r="A59" s="2"/>
      <c r="B59" s="2"/>
      <c r="C59" s="2" t="s">
        <v>109</v>
      </c>
      <c r="D59" s="7">
        <f>Disclosures!I25*$D$48</f>
        <v>0.5</v>
      </c>
      <c r="E59" s="3"/>
      <c r="F59" s="3"/>
      <c r="G59" s="3"/>
      <c r="H59" s="3"/>
      <c r="I59" s="3"/>
      <c r="J59" s="3"/>
      <c r="K59" s="3"/>
      <c r="L59" s="3"/>
      <c r="M59" s="3"/>
      <c r="N59" s="3"/>
      <c r="O59" s="3"/>
      <c r="P59" s="3"/>
      <c r="Q59" s="3"/>
      <c r="R59" s="3"/>
      <c r="S59" s="3"/>
      <c r="T59" s="3"/>
      <c r="U59" s="3"/>
      <c r="V59" s="3"/>
      <c r="W59" s="3"/>
    </row>
    <row r="60" spans="1:23" ht="19" customHeight="1">
      <c r="A60" s="2"/>
      <c r="B60" s="2"/>
      <c r="C60" s="2" t="s">
        <v>110</v>
      </c>
      <c r="D60" s="35">
        <v>10000</v>
      </c>
      <c r="E60" s="3"/>
      <c r="F60" s="3"/>
      <c r="G60" s="3"/>
      <c r="H60" s="3"/>
      <c r="I60" s="3"/>
      <c r="J60" s="3"/>
      <c r="K60" s="3"/>
      <c r="L60" s="3"/>
      <c r="M60" s="3"/>
      <c r="N60" s="3"/>
      <c r="O60" s="3"/>
      <c r="P60" s="3"/>
      <c r="Q60" s="3"/>
      <c r="R60" s="3"/>
      <c r="S60" s="3"/>
      <c r="T60" s="3"/>
      <c r="U60" s="3"/>
      <c r="V60" s="3"/>
      <c r="W60" s="3"/>
    </row>
    <row r="61" spans="1:23" ht="19" customHeight="1">
      <c r="A61" s="2"/>
      <c r="B61" s="2"/>
      <c r="C61" s="2" t="s">
        <v>111</v>
      </c>
      <c r="D61" s="35">
        <v>100</v>
      </c>
      <c r="E61" s="3"/>
      <c r="F61" s="3"/>
      <c r="G61" s="3"/>
      <c r="H61" s="3"/>
      <c r="I61" s="3"/>
      <c r="J61" s="3"/>
      <c r="K61" s="3"/>
      <c r="L61" s="3"/>
      <c r="M61" s="3"/>
      <c r="N61" s="3"/>
      <c r="O61" s="3"/>
      <c r="P61" s="3"/>
      <c r="Q61" s="3"/>
      <c r="R61" s="3"/>
      <c r="S61" s="3"/>
      <c r="T61" s="3"/>
      <c r="U61" s="3"/>
      <c r="V61" s="3"/>
      <c r="W61" s="3"/>
    </row>
    <row r="62" spans="1:23" ht="19" customHeight="1">
      <c r="A62" s="2"/>
      <c r="B62" s="2"/>
      <c r="C62" s="2" t="s">
        <v>112</v>
      </c>
      <c r="D62" s="7">
        <f>Disclosures!I31*$D$48</f>
        <v>1.75</v>
      </c>
      <c r="E62" s="3"/>
      <c r="F62" s="3"/>
      <c r="G62" s="3"/>
      <c r="H62" s="3"/>
      <c r="I62" s="3"/>
      <c r="J62" s="3"/>
      <c r="K62" s="3"/>
      <c r="L62" s="3"/>
      <c r="M62" s="3"/>
      <c r="N62" s="3"/>
      <c r="O62" s="3"/>
      <c r="P62" s="3"/>
      <c r="Q62" s="3"/>
      <c r="R62" s="3"/>
      <c r="S62" s="3"/>
      <c r="T62" s="3"/>
      <c r="U62" s="3"/>
      <c r="V62" s="3"/>
      <c r="W62" s="3"/>
    </row>
    <row r="63" spans="1:23" ht="19" customHeight="1">
      <c r="A63" s="2"/>
      <c r="B63" s="2"/>
      <c r="C63" s="2" t="s">
        <v>113</v>
      </c>
      <c r="D63" s="7">
        <f>Disclosures!I32*$D$48</f>
        <v>1.75</v>
      </c>
      <c r="E63" s="3"/>
      <c r="F63" s="3"/>
      <c r="G63" s="3"/>
      <c r="H63" s="3"/>
      <c r="I63" s="3"/>
      <c r="J63" s="3"/>
      <c r="K63" s="3"/>
      <c r="L63" s="3"/>
      <c r="M63" s="3"/>
      <c r="N63" s="3"/>
      <c r="O63" s="3"/>
      <c r="P63" s="3"/>
      <c r="Q63" s="3"/>
      <c r="R63" s="3"/>
      <c r="S63" s="3"/>
      <c r="T63" s="3"/>
      <c r="U63" s="3"/>
      <c r="V63" s="3"/>
      <c r="W63" s="3"/>
    </row>
    <row r="64" spans="1:23" ht="19" customHeight="1">
      <c r="A64" s="2"/>
      <c r="B64" s="2"/>
      <c r="C64" s="2" t="s">
        <v>114</v>
      </c>
      <c r="D64" s="7">
        <f>Disclosures!I33*$D$48</f>
        <v>2.75</v>
      </c>
      <c r="E64" s="3"/>
      <c r="F64" s="3"/>
      <c r="G64" s="3"/>
      <c r="H64" s="3"/>
      <c r="I64" s="3"/>
      <c r="J64" s="3"/>
      <c r="K64" s="3"/>
      <c r="L64" s="3"/>
      <c r="M64" s="3"/>
      <c r="N64" s="3"/>
      <c r="O64" s="3"/>
      <c r="P64" s="3"/>
      <c r="Q64" s="3"/>
      <c r="R64" s="3"/>
      <c r="S64" s="3"/>
      <c r="T64" s="3"/>
      <c r="U64" s="3"/>
      <c r="V64" s="3"/>
      <c r="W64" s="3"/>
    </row>
    <row r="65" spans="1:23" ht="19" customHeight="1">
      <c r="A65" s="2"/>
      <c r="B65" s="2"/>
      <c r="C65" s="2" t="s">
        <v>115</v>
      </c>
      <c r="D65" s="7">
        <f>Disclosures!I34*$D$48</f>
        <v>0.5</v>
      </c>
      <c r="E65" s="3"/>
      <c r="F65" s="3"/>
      <c r="G65" s="3"/>
      <c r="H65" s="3"/>
      <c r="I65" s="3"/>
      <c r="J65" s="3"/>
      <c r="K65" s="3"/>
      <c r="L65" s="3"/>
      <c r="M65" s="3"/>
      <c r="N65" s="3"/>
      <c r="O65" s="3"/>
      <c r="P65" s="3"/>
      <c r="Q65" s="3"/>
      <c r="R65" s="3"/>
      <c r="S65" s="3"/>
      <c r="T65" s="3"/>
      <c r="U65" s="3"/>
      <c r="V65" s="3"/>
      <c r="W65" s="3"/>
    </row>
    <row r="66" spans="1:23" ht="19" customHeight="1">
      <c r="A66" s="2"/>
      <c r="B66" s="2"/>
      <c r="C66" s="2" t="s">
        <v>116</v>
      </c>
      <c r="D66" s="18">
        <f>Disclosures!I35/Disclosures!I23</f>
        <v>3.5587188612099642E-3</v>
      </c>
      <c r="E66" s="3"/>
      <c r="F66" s="3"/>
      <c r="G66" s="3"/>
      <c r="H66" s="3"/>
      <c r="I66" s="3"/>
      <c r="J66" s="3"/>
      <c r="K66" s="3"/>
      <c r="L66" s="3"/>
      <c r="M66" s="3"/>
      <c r="N66" s="3"/>
      <c r="O66" s="3"/>
      <c r="P66" s="3"/>
      <c r="Q66" s="3"/>
      <c r="R66" s="3"/>
      <c r="S66" s="3"/>
      <c r="T66" s="3"/>
      <c r="U66" s="3"/>
      <c r="V66" s="3"/>
      <c r="W66" s="3"/>
    </row>
    <row r="67" spans="1:23" ht="19" customHeight="1">
      <c r="A67" s="2"/>
      <c r="B67" s="2"/>
      <c r="C67" s="2" t="s">
        <v>117</v>
      </c>
      <c r="D67" s="13">
        <v>0</v>
      </c>
      <c r="E67" s="3"/>
      <c r="F67" s="3"/>
      <c r="G67" s="3"/>
      <c r="H67" s="3"/>
      <c r="I67" s="3"/>
      <c r="J67" s="3"/>
      <c r="K67" s="3"/>
      <c r="L67" s="3"/>
      <c r="M67" s="3"/>
      <c r="N67" s="3"/>
      <c r="O67" s="3"/>
      <c r="P67" s="3"/>
      <c r="Q67" s="3"/>
      <c r="R67" s="3"/>
      <c r="S67" s="3"/>
      <c r="T67" s="3"/>
      <c r="U67" s="3"/>
      <c r="V67" s="3"/>
      <c r="W67" s="3"/>
    </row>
    <row r="68" spans="1:23" ht="19" customHeight="1">
      <c r="A68" s="2"/>
      <c r="B68" s="2"/>
      <c r="C68" s="2"/>
      <c r="D68" s="3"/>
      <c r="E68" s="3"/>
      <c r="F68" s="3"/>
      <c r="G68" s="3"/>
      <c r="H68" s="3"/>
      <c r="I68" s="3"/>
      <c r="J68" s="3"/>
      <c r="K68" s="3"/>
      <c r="L68" s="3"/>
      <c r="M68" s="3"/>
      <c r="N68" s="3"/>
      <c r="O68" s="3"/>
      <c r="P68" s="3"/>
      <c r="Q68" s="3"/>
      <c r="R68" s="3"/>
      <c r="S68" s="3"/>
      <c r="T68" s="3"/>
      <c r="U68" s="3"/>
      <c r="V68" s="3"/>
      <c r="W68" s="3"/>
    </row>
    <row r="69" spans="1:23" ht="19" customHeight="1">
      <c r="A69" s="2"/>
      <c r="B69" s="2"/>
      <c r="C69" s="2"/>
      <c r="D69" s="3"/>
      <c r="E69" s="3"/>
      <c r="F69" s="3"/>
      <c r="G69" s="3"/>
      <c r="H69" s="3"/>
      <c r="I69" s="3"/>
      <c r="J69" s="3"/>
      <c r="K69" s="3"/>
      <c r="L69" s="3"/>
      <c r="M69" s="3"/>
      <c r="N69" s="3"/>
      <c r="O69" s="3"/>
      <c r="P69" s="3"/>
      <c r="Q69" s="3"/>
      <c r="R69" s="3"/>
      <c r="S69" s="3"/>
      <c r="T69" s="3"/>
      <c r="U69" s="3"/>
      <c r="V69" s="3"/>
      <c r="W69" s="3"/>
    </row>
    <row r="70" spans="1:23" ht="19" customHeight="1">
      <c r="A70" s="2"/>
      <c r="B70" s="2"/>
      <c r="C70" s="2"/>
      <c r="D70" s="3"/>
      <c r="E70" s="3"/>
      <c r="F70" s="3"/>
      <c r="G70" s="3"/>
      <c r="H70" s="3"/>
      <c r="I70" s="3"/>
      <c r="J70" s="3"/>
      <c r="K70" s="3"/>
      <c r="L70" s="3"/>
      <c r="M70" s="3"/>
      <c r="N70" s="3"/>
      <c r="O70" s="3"/>
      <c r="P70" s="3"/>
      <c r="Q70" s="3"/>
      <c r="R70" s="3"/>
      <c r="S70" s="3"/>
      <c r="T70" s="3"/>
      <c r="U70" s="3"/>
      <c r="V70" s="3"/>
      <c r="W70" s="3"/>
    </row>
    <row r="71" spans="1:23" ht="19" customHeight="1">
      <c r="A71" s="2"/>
      <c r="B71" s="2"/>
      <c r="C71" s="2"/>
      <c r="D71" s="3"/>
      <c r="E71" s="3"/>
      <c r="F71" s="3"/>
      <c r="G71" s="3"/>
      <c r="H71" s="3"/>
      <c r="I71" s="3"/>
      <c r="J71" s="3"/>
      <c r="K71" s="3"/>
      <c r="L71" s="3"/>
      <c r="M71" s="3"/>
      <c r="N71" s="3"/>
      <c r="O71" s="3"/>
      <c r="P71" s="3"/>
      <c r="Q71" s="3"/>
      <c r="R71" s="3"/>
      <c r="S71" s="3"/>
      <c r="T71" s="3"/>
      <c r="U71" s="3"/>
      <c r="V71" s="3"/>
      <c r="W71" s="3"/>
    </row>
    <row r="72" spans="1:23" ht="19" customHeight="1">
      <c r="A72" s="2"/>
      <c r="B72" s="2"/>
      <c r="C72" s="2"/>
      <c r="D72" s="3"/>
      <c r="E72" s="3"/>
      <c r="F72" s="3"/>
      <c r="G72" s="3"/>
      <c r="H72" s="3"/>
      <c r="I72" s="3"/>
      <c r="J72" s="3"/>
      <c r="K72" s="3"/>
      <c r="L72" s="3"/>
      <c r="M72" s="3"/>
      <c r="N72" s="3"/>
      <c r="O72" s="3"/>
      <c r="P72" s="3"/>
      <c r="Q72" s="3"/>
      <c r="R72" s="3"/>
      <c r="S72" s="3"/>
      <c r="T72" s="3"/>
      <c r="U72" s="3"/>
      <c r="V72" s="3"/>
      <c r="W72" s="3"/>
    </row>
    <row r="73" spans="1:23" ht="19" customHeight="1">
      <c r="A73" s="2"/>
      <c r="B73" s="2"/>
      <c r="C73" s="2"/>
      <c r="D73" s="3"/>
      <c r="E73" s="3"/>
      <c r="F73" s="3"/>
      <c r="G73" s="3"/>
      <c r="H73" s="3"/>
      <c r="I73" s="3"/>
      <c r="J73" s="3"/>
      <c r="K73" s="3"/>
      <c r="L73" s="3"/>
      <c r="M73" s="3"/>
      <c r="N73" s="3"/>
      <c r="O73" s="3"/>
      <c r="P73" s="3"/>
      <c r="Q73" s="3"/>
      <c r="R73" s="3"/>
      <c r="S73" s="3"/>
      <c r="T73" s="3"/>
      <c r="U73" s="3"/>
      <c r="V73" s="3"/>
      <c r="W73" s="3"/>
    </row>
    <row r="74" spans="1:23" ht="19" customHeight="1">
      <c r="A74" s="2"/>
      <c r="B74" s="2"/>
      <c r="C74" s="2"/>
      <c r="D74" s="3"/>
      <c r="E74" s="3"/>
      <c r="F74" s="3"/>
      <c r="G74" s="3"/>
      <c r="H74" s="3"/>
      <c r="I74" s="3"/>
      <c r="J74" s="3"/>
      <c r="K74" s="3"/>
      <c r="L74" s="3"/>
      <c r="M74" s="3"/>
      <c r="N74" s="3"/>
      <c r="O74" s="3"/>
      <c r="P74" s="3"/>
      <c r="Q74" s="3"/>
      <c r="R74" s="3"/>
      <c r="S74" s="3"/>
      <c r="T74" s="3"/>
      <c r="U74" s="3"/>
      <c r="V74" s="3"/>
      <c r="W74" s="3"/>
    </row>
    <row r="75" spans="1:23" ht="19" customHeight="1">
      <c r="A75" s="2"/>
      <c r="B75" s="2"/>
      <c r="C75" s="2"/>
      <c r="D75" s="3"/>
      <c r="E75" s="3"/>
      <c r="F75" s="3"/>
      <c r="G75" s="3"/>
      <c r="H75" s="3"/>
      <c r="I75" s="3"/>
      <c r="J75" s="3"/>
      <c r="K75" s="3"/>
      <c r="L75" s="3"/>
      <c r="M75" s="3"/>
      <c r="N75" s="3"/>
      <c r="O75" s="3"/>
      <c r="P75" s="3"/>
      <c r="Q75" s="3"/>
      <c r="R75" s="3"/>
      <c r="S75" s="3"/>
      <c r="T75" s="3"/>
      <c r="U75" s="3"/>
      <c r="V75" s="3"/>
      <c r="W75" s="3"/>
    </row>
    <row r="76" spans="1:23" ht="19" customHeight="1">
      <c r="A76" s="2"/>
      <c r="B76" s="2"/>
      <c r="C76" s="2"/>
      <c r="D76" s="3"/>
      <c r="E76" s="3"/>
      <c r="F76" s="3"/>
      <c r="G76" s="3"/>
      <c r="H76" s="3"/>
      <c r="I76" s="3"/>
      <c r="J76" s="3"/>
      <c r="K76" s="3"/>
      <c r="L76" s="3"/>
      <c r="M76" s="3"/>
      <c r="N76" s="3"/>
      <c r="O76" s="3"/>
      <c r="P76" s="3"/>
      <c r="Q76" s="3"/>
      <c r="R76" s="3"/>
      <c r="S76" s="3"/>
      <c r="T76" s="3"/>
      <c r="U76" s="3"/>
      <c r="V76" s="3"/>
      <c r="W76" s="3"/>
    </row>
    <row r="77" spans="1:23" ht="19" customHeight="1">
      <c r="A77" s="2"/>
      <c r="B77" s="2"/>
      <c r="C77" s="2"/>
      <c r="D77" s="3"/>
      <c r="E77" s="3"/>
      <c r="F77" s="3"/>
      <c r="G77" s="3"/>
      <c r="H77" s="3"/>
      <c r="I77" s="3"/>
      <c r="J77" s="3"/>
      <c r="K77" s="3"/>
      <c r="L77" s="3"/>
      <c r="M77" s="3"/>
      <c r="N77" s="3"/>
      <c r="O77" s="3"/>
      <c r="P77" s="3"/>
      <c r="Q77" s="3"/>
      <c r="R77" s="3"/>
      <c r="S77" s="3"/>
      <c r="T77" s="3"/>
      <c r="U77" s="3"/>
      <c r="V77" s="3"/>
      <c r="W77" s="3"/>
    </row>
    <row r="78" spans="1:23" ht="19" customHeight="1">
      <c r="A78" s="2"/>
      <c r="B78" s="2"/>
      <c r="C78" s="2"/>
      <c r="D78" s="3"/>
      <c r="E78" s="3"/>
      <c r="F78" s="3"/>
      <c r="G78" s="3"/>
      <c r="H78" s="3"/>
      <c r="I78" s="3"/>
      <c r="J78" s="3"/>
      <c r="K78" s="3"/>
      <c r="L78" s="3"/>
      <c r="M78" s="3"/>
      <c r="N78" s="3"/>
      <c r="O78" s="3"/>
      <c r="P78" s="3"/>
      <c r="Q78" s="3"/>
      <c r="R78" s="3"/>
      <c r="S78" s="3"/>
      <c r="T78" s="3"/>
      <c r="U78" s="3"/>
      <c r="V78" s="3"/>
      <c r="W78" s="3"/>
    </row>
    <row r="79" spans="1:23" ht="19" customHeight="1">
      <c r="A79" s="2"/>
      <c r="B79" s="2"/>
      <c r="C79" s="2"/>
      <c r="D79" s="3"/>
      <c r="E79" s="3"/>
      <c r="F79" s="3"/>
      <c r="G79" s="3"/>
      <c r="H79" s="3"/>
      <c r="I79" s="3"/>
      <c r="J79" s="3"/>
      <c r="K79" s="3"/>
      <c r="L79" s="3"/>
      <c r="M79" s="3"/>
      <c r="N79" s="3"/>
      <c r="O79" s="3"/>
      <c r="P79" s="3"/>
      <c r="Q79" s="3"/>
      <c r="R79" s="3"/>
      <c r="S79" s="3"/>
      <c r="T79" s="3"/>
      <c r="U79" s="3"/>
      <c r="V79" s="3"/>
      <c r="W79" s="3"/>
    </row>
    <row r="80" spans="1:23" ht="19" customHeight="1">
      <c r="A80" s="2"/>
      <c r="B80" s="2"/>
      <c r="C80" s="2"/>
      <c r="D80" s="3"/>
      <c r="E80" s="3"/>
      <c r="F80" s="3"/>
      <c r="G80" s="3"/>
      <c r="H80" s="3"/>
      <c r="I80" s="3"/>
      <c r="J80" s="3"/>
      <c r="K80" s="3"/>
      <c r="L80" s="3"/>
      <c r="M80" s="3"/>
      <c r="N80" s="3"/>
      <c r="O80" s="3"/>
      <c r="P80" s="3"/>
      <c r="Q80" s="3"/>
      <c r="R80" s="3"/>
      <c r="S80" s="3"/>
      <c r="T80" s="3"/>
      <c r="U80" s="3"/>
      <c r="V80" s="3"/>
      <c r="W80" s="3"/>
    </row>
    <row r="81" spans="1:23" ht="19" customHeight="1">
      <c r="A81" s="2"/>
      <c r="B81" s="2"/>
      <c r="C81" s="2"/>
      <c r="D81" s="3"/>
      <c r="E81" s="3"/>
      <c r="F81" s="3"/>
      <c r="G81" s="3"/>
      <c r="H81" s="3"/>
      <c r="I81" s="3"/>
      <c r="J81" s="3"/>
      <c r="K81" s="3"/>
      <c r="L81" s="3"/>
      <c r="M81" s="3"/>
      <c r="N81" s="3"/>
      <c r="O81" s="3"/>
      <c r="P81" s="3"/>
      <c r="Q81" s="3"/>
      <c r="R81" s="3"/>
      <c r="S81" s="3"/>
      <c r="T81" s="3"/>
      <c r="U81" s="3"/>
      <c r="V81" s="3"/>
      <c r="W81" s="3"/>
    </row>
    <row r="82" spans="1:23" ht="19" customHeight="1">
      <c r="A82" s="2"/>
      <c r="B82" s="2"/>
      <c r="C82" s="2"/>
      <c r="D82" s="3"/>
      <c r="E82" s="3"/>
      <c r="F82" s="3"/>
      <c r="G82" s="3"/>
      <c r="H82" s="3"/>
      <c r="I82" s="3"/>
      <c r="J82" s="3"/>
      <c r="K82" s="3"/>
      <c r="L82" s="3"/>
      <c r="M82" s="3"/>
      <c r="N82" s="3"/>
      <c r="O82" s="3"/>
      <c r="P82" s="3"/>
      <c r="Q82" s="3"/>
      <c r="R82" s="3"/>
      <c r="S82" s="3"/>
      <c r="T82" s="3"/>
      <c r="U82" s="3"/>
      <c r="V82" s="3"/>
      <c r="W82" s="3"/>
    </row>
    <row r="83" spans="1:23" ht="19" customHeight="1">
      <c r="A83" s="2"/>
      <c r="B83" s="2"/>
      <c r="C83" s="2"/>
      <c r="D83" s="3"/>
      <c r="E83" s="3"/>
      <c r="F83" s="3"/>
      <c r="G83" s="3"/>
      <c r="H83" s="3"/>
      <c r="I83" s="3"/>
      <c r="J83" s="3"/>
      <c r="K83" s="3"/>
      <c r="L83" s="3"/>
      <c r="M83" s="3"/>
      <c r="N83" s="3"/>
      <c r="O83" s="3"/>
      <c r="P83" s="3"/>
      <c r="Q83" s="3"/>
      <c r="R83" s="3"/>
      <c r="S83" s="3"/>
      <c r="T83" s="3"/>
      <c r="U83" s="3"/>
      <c r="V83" s="3"/>
      <c r="W83" s="3"/>
    </row>
    <row r="84" spans="1:23" ht="19" customHeight="1">
      <c r="A84" s="2"/>
      <c r="B84" s="2"/>
      <c r="C84" s="2"/>
      <c r="D84" s="3"/>
      <c r="E84" s="3"/>
      <c r="F84" s="3"/>
      <c r="G84" s="3"/>
      <c r="H84" s="3"/>
      <c r="I84" s="3"/>
      <c r="J84" s="3"/>
      <c r="K84" s="3"/>
      <c r="L84" s="3"/>
      <c r="M84" s="3"/>
      <c r="N84" s="3"/>
      <c r="O84" s="3"/>
      <c r="P84" s="3"/>
      <c r="Q84" s="3"/>
      <c r="R84" s="3"/>
      <c r="S84" s="3"/>
      <c r="T84" s="3"/>
      <c r="U84" s="3"/>
      <c r="V84" s="3"/>
      <c r="W84" s="3"/>
    </row>
    <row r="85" spans="1:23" ht="19" customHeight="1">
      <c r="A85" s="2"/>
      <c r="B85" s="2"/>
      <c r="C85" s="2"/>
      <c r="D85" s="3"/>
      <c r="E85" s="3"/>
      <c r="F85" s="3"/>
      <c r="G85" s="3"/>
      <c r="H85" s="3"/>
      <c r="I85" s="3"/>
      <c r="J85" s="3"/>
      <c r="K85" s="3"/>
      <c r="L85" s="3"/>
      <c r="M85" s="3"/>
      <c r="N85" s="3"/>
      <c r="O85" s="3"/>
      <c r="P85" s="3"/>
      <c r="Q85" s="3"/>
      <c r="R85" s="3"/>
      <c r="S85" s="3"/>
      <c r="T85" s="3"/>
      <c r="U85" s="3"/>
      <c r="V85" s="3"/>
      <c r="W85" s="3"/>
    </row>
    <row r="86" spans="1:23" ht="19" customHeight="1">
      <c r="A86" s="2"/>
      <c r="B86" s="2"/>
      <c r="C86" s="2"/>
      <c r="D86" s="3"/>
      <c r="E86" s="3"/>
      <c r="F86" s="3"/>
      <c r="G86" s="3"/>
      <c r="H86" s="3"/>
      <c r="I86" s="3"/>
      <c r="J86" s="3"/>
      <c r="K86" s="3"/>
      <c r="L86" s="3"/>
      <c r="M86" s="3"/>
      <c r="N86" s="3"/>
      <c r="O86" s="3"/>
      <c r="P86" s="3"/>
      <c r="Q86" s="3"/>
      <c r="R86" s="3"/>
      <c r="S86" s="3"/>
      <c r="T86" s="3"/>
      <c r="U86" s="3"/>
      <c r="V86" s="3"/>
      <c r="W86" s="3"/>
    </row>
    <row r="87" spans="1:23" ht="19" customHeight="1">
      <c r="A87" s="2"/>
      <c r="B87" s="2"/>
      <c r="C87" s="2"/>
      <c r="D87" s="3"/>
      <c r="E87" s="3"/>
      <c r="F87" s="3"/>
      <c r="G87" s="3"/>
      <c r="H87" s="3"/>
      <c r="I87" s="3"/>
      <c r="J87" s="3"/>
      <c r="K87" s="3"/>
      <c r="L87" s="3"/>
      <c r="M87" s="3"/>
      <c r="N87" s="3"/>
      <c r="O87" s="3"/>
      <c r="P87" s="3"/>
      <c r="Q87" s="3"/>
      <c r="R87" s="3"/>
      <c r="S87" s="3"/>
      <c r="T87" s="3"/>
      <c r="U87" s="3"/>
      <c r="V87" s="3"/>
      <c r="W87" s="3"/>
    </row>
    <row r="88" spans="1:23" ht="19" customHeight="1">
      <c r="A88" s="2"/>
      <c r="B88" s="2"/>
      <c r="C88" s="2"/>
      <c r="D88" s="3"/>
      <c r="E88" s="3"/>
      <c r="F88" s="3"/>
      <c r="G88" s="3"/>
      <c r="H88" s="3"/>
      <c r="I88" s="3"/>
      <c r="J88" s="3"/>
      <c r="K88" s="3"/>
      <c r="L88" s="3"/>
      <c r="M88" s="3"/>
      <c r="N88" s="3"/>
      <c r="O88" s="3"/>
      <c r="P88" s="3"/>
      <c r="Q88" s="3"/>
      <c r="R88" s="3"/>
      <c r="S88" s="3"/>
      <c r="T88" s="3"/>
      <c r="U88" s="3"/>
      <c r="V88" s="3"/>
      <c r="W88" s="3"/>
    </row>
    <row r="89" spans="1:23" ht="19" customHeight="1">
      <c r="A89" s="2"/>
      <c r="B89" s="2"/>
      <c r="C89" s="2"/>
      <c r="D89" s="3"/>
      <c r="E89" s="3"/>
      <c r="F89" s="3"/>
      <c r="G89" s="3"/>
      <c r="H89" s="3"/>
      <c r="I89" s="3"/>
      <c r="J89" s="3"/>
      <c r="K89" s="3"/>
      <c r="L89" s="3"/>
      <c r="M89" s="3"/>
      <c r="N89" s="3"/>
      <c r="O89" s="3"/>
      <c r="P89" s="3"/>
      <c r="Q89" s="3"/>
      <c r="R89" s="3"/>
      <c r="S89" s="3"/>
      <c r="T89" s="3"/>
      <c r="U89" s="3"/>
      <c r="V89" s="3"/>
      <c r="W89" s="3"/>
    </row>
    <row r="90" spans="1:23" ht="19" customHeight="1">
      <c r="A90" s="2"/>
      <c r="B90" s="2"/>
      <c r="C90" s="2"/>
      <c r="D90" s="3"/>
      <c r="E90" s="3"/>
      <c r="F90" s="3"/>
      <c r="G90" s="3"/>
      <c r="H90" s="3"/>
      <c r="I90" s="3"/>
      <c r="J90" s="3"/>
      <c r="K90" s="3"/>
      <c r="L90" s="3"/>
      <c r="M90" s="3"/>
      <c r="N90" s="3"/>
      <c r="O90" s="3"/>
      <c r="P90" s="3"/>
      <c r="Q90" s="3"/>
      <c r="R90" s="3"/>
      <c r="S90" s="3"/>
      <c r="T90" s="3"/>
      <c r="U90" s="3"/>
      <c r="V90" s="3"/>
      <c r="W90" s="3"/>
    </row>
    <row r="91" spans="1:23" ht="19" customHeight="1">
      <c r="A91" s="2"/>
      <c r="B91" s="2"/>
      <c r="C91" s="2"/>
      <c r="D91" s="3"/>
      <c r="E91" s="3"/>
      <c r="F91" s="3"/>
      <c r="G91" s="3"/>
      <c r="H91" s="3"/>
      <c r="I91" s="3"/>
      <c r="J91" s="3"/>
      <c r="K91" s="3"/>
      <c r="L91" s="3"/>
      <c r="M91" s="3"/>
      <c r="N91" s="3"/>
      <c r="O91" s="3"/>
      <c r="P91" s="3"/>
      <c r="Q91" s="3"/>
      <c r="R91" s="3"/>
      <c r="S91" s="3"/>
      <c r="T91" s="3"/>
      <c r="U91" s="3"/>
      <c r="V91" s="3"/>
      <c r="W91" s="3"/>
    </row>
    <row r="92" spans="1:23" ht="19" customHeight="1">
      <c r="A92" s="2"/>
      <c r="B92" s="2"/>
      <c r="C92" s="2"/>
      <c r="D92" s="3"/>
      <c r="E92" s="3"/>
      <c r="F92" s="3"/>
      <c r="G92" s="3"/>
      <c r="H92" s="3"/>
      <c r="I92" s="3"/>
      <c r="J92" s="3"/>
      <c r="K92" s="3"/>
      <c r="L92" s="3"/>
      <c r="M92" s="3"/>
      <c r="N92" s="3"/>
      <c r="O92" s="3"/>
      <c r="P92" s="3"/>
      <c r="Q92" s="3"/>
      <c r="R92" s="3"/>
      <c r="S92" s="3"/>
      <c r="T92" s="3"/>
      <c r="U92" s="3"/>
      <c r="V92" s="3"/>
      <c r="W92" s="3"/>
    </row>
    <row r="93" spans="1:23" ht="19" customHeight="1">
      <c r="A93" s="2"/>
      <c r="B93" s="2"/>
      <c r="C93" s="2"/>
      <c r="D93" s="3"/>
      <c r="E93" s="3"/>
      <c r="F93" s="3"/>
      <c r="G93" s="3"/>
      <c r="H93" s="3"/>
      <c r="I93" s="3"/>
      <c r="J93" s="3"/>
      <c r="K93" s="3"/>
      <c r="L93" s="3"/>
      <c r="M93" s="3"/>
      <c r="N93" s="3"/>
      <c r="O93" s="3"/>
      <c r="P93" s="3"/>
      <c r="Q93" s="3"/>
      <c r="R93" s="3"/>
      <c r="S93" s="3"/>
      <c r="T93" s="3"/>
      <c r="U93" s="3"/>
      <c r="V93" s="3"/>
      <c r="W93" s="3"/>
    </row>
    <row r="94" spans="1:23" ht="19" customHeight="1">
      <c r="A94" s="2"/>
      <c r="B94" s="2"/>
      <c r="C94" s="2"/>
      <c r="D94" s="3"/>
      <c r="E94" s="3"/>
      <c r="F94" s="3"/>
      <c r="G94" s="3"/>
      <c r="H94" s="3"/>
      <c r="I94" s="3"/>
      <c r="J94" s="3"/>
      <c r="K94" s="3"/>
      <c r="L94" s="3"/>
      <c r="M94" s="3"/>
      <c r="N94" s="3"/>
      <c r="O94" s="3"/>
      <c r="P94" s="3"/>
      <c r="Q94" s="3"/>
      <c r="R94" s="3"/>
      <c r="S94" s="3"/>
      <c r="T94" s="3"/>
      <c r="U94" s="3"/>
      <c r="V94" s="3"/>
      <c r="W94" s="3"/>
    </row>
    <row r="95" spans="1:23" ht="19" customHeight="1">
      <c r="A95" s="2"/>
      <c r="B95" s="2"/>
      <c r="C95" s="2"/>
      <c r="D95" s="3"/>
      <c r="E95" s="3"/>
      <c r="F95" s="3"/>
      <c r="G95" s="3"/>
      <c r="H95" s="3"/>
      <c r="I95" s="3"/>
      <c r="J95" s="3"/>
      <c r="K95" s="3"/>
      <c r="L95" s="3"/>
      <c r="M95" s="3"/>
      <c r="N95" s="3"/>
      <c r="O95" s="3"/>
      <c r="P95" s="3"/>
      <c r="Q95" s="3"/>
      <c r="R95" s="3"/>
      <c r="S95" s="3"/>
      <c r="T95" s="3"/>
      <c r="U95" s="3"/>
      <c r="V95" s="3"/>
      <c r="W95" s="3"/>
    </row>
    <row r="96" spans="1:23" ht="19" customHeight="1">
      <c r="A96" s="2"/>
      <c r="B96" s="2"/>
      <c r="C96" s="2"/>
      <c r="D96" s="3"/>
      <c r="E96" s="3"/>
      <c r="F96" s="3"/>
      <c r="G96" s="3"/>
      <c r="H96" s="3"/>
      <c r="I96" s="3"/>
      <c r="J96" s="3"/>
      <c r="K96" s="3"/>
      <c r="L96" s="3"/>
      <c r="M96" s="3"/>
      <c r="N96" s="3"/>
      <c r="O96" s="3"/>
      <c r="P96" s="3"/>
      <c r="Q96" s="3"/>
      <c r="R96" s="3"/>
      <c r="S96" s="3"/>
      <c r="T96" s="3"/>
      <c r="U96" s="3"/>
      <c r="V96" s="3"/>
      <c r="W96" s="3"/>
    </row>
    <row r="97" spans="1:23" ht="19" customHeight="1">
      <c r="A97" s="2"/>
      <c r="B97" s="2"/>
      <c r="C97" s="2"/>
      <c r="D97" s="3"/>
      <c r="E97" s="3"/>
      <c r="F97" s="3"/>
      <c r="G97" s="3"/>
      <c r="H97" s="3"/>
      <c r="I97" s="3"/>
      <c r="J97" s="3"/>
      <c r="K97" s="3"/>
      <c r="L97" s="3"/>
      <c r="M97" s="3"/>
      <c r="N97" s="3"/>
      <c r="O97" s="3"/>
      <c r="P97" s="3"/>
      <c r="Q97" s="3"/>
      <c r="R97" s="3"/>
      <c r="S97" s="3"/>
      <c r="T97" s="3"/>
      <c r="U97" s="3"/>
      <c r="V97" s="3"/>
      <c r="W97" s="3"/>
    </row>
    <row r="98" spans="1:23" ht="19" customHeight="1">
      <c r="A98" s="2"/>
      <c r="B98" s="2"/>
      <c r="C98" s="2"/>
      <c r="D98" s="3"/>
      <c r="E98" s="3"/>
      <c r="F98" s="3"/>
      <c r="G98" s="3"/>
      <c r="H98" s="3"/>
      <c r="I98" s="3"/>
      <c r="J98" s="3"/>
      <c r="K98" s="3"/>
      <c r="L98" s="3"/>
      <c r="M98" s="3"/>
      <c r="N98" s="3"/>
      <c r="O98" s="3"/>
      <c r="P98" s="3"/>
      <c r="Q98" s="3"/>
      <c r="R98" s="3"/>
      <c r="S98" s="3"/>
      <c r="T98" s="3"/>
      <c r="U98" s="3"/>
      <c r="V98" s="3"/>
      <c r="W98" s="3"/>
    </row>
    <row r="99" spans="1:23" ht="19" customHeight="1">
      <c r="A99" s="2"/>
      <c r="B99" s="2"/>
      <c r="C99" s="2"/>
      <c r="D99" s="3"/>
      <c r="E99" s="3"/>
      <c r="F99" s="3"/>
      <c r="G99" s="3"/>
      <c r="H99" s="3"/>
      <c r="I99" s="3"/>
      <c r="J99" s="3"/>
      <c r="K99" s="3"/>
      <c r="L99" s="3"/>
      <c r="M99" s="3"/>
      <c r="N99" s="3"/>
      <c r="O99" s="3"/>
      <c r="P99" s="3"/>
      <c r="Q99" s="3"/>
      <c r="R99" s="3"/>
      <c r="S99" s="3"/>
      <c r="T99" s="3"/>
      <c r="U99" s="3"/>
      <c r="V99" s="3"/>
      <c r="W99" s="3"/>
    </row>
    <row r="100" spans="1:23" ht="19" customHeight="1">
      <c r="A100" s="2"/>
      <c r="B100" s="2"/>
      <c r="C100" s="2"/>
      <c r="D100" s="3"/>
      <c r="E100" s="3"/>
      <c r="F100" s="3"/>
      <c r="G100" s="3"/>
      <c r="H100" s="3"/>
      <c r="I100" s="3"/>
      <c r="J100" s="3"/>
      <c r="K100" s="3"/>
      <c r="L100" s="3"/>
      <c r="M100" s="3"/>
      <c r="N100" s="3"/>
      <c r="O100" s="3"/>
      <c r="P100" s="3"/>
      <c r="Q100" s="3"/>
      <c r="R100" s="3"/>
      <c r="S100" s="3"/>
      <c r="T100" s="3"/>
      <c r="U100" s="3"/>
      <c r="V100" s="3"/>
      <c r="W100" s="3"/>
    </row>
  </sheetData>
  <dataValidations count="1">
    <dataValidation type="whole" sqref="D4" xr:uid="{00000000-0002-0000-0100-000000000000}">
      <formula1>1</formula1>
      <formula2>4</formula2>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87A98"/>
  </sheetPr>
  <dimension ref="A1:W109"/>
  <sheetViews>
    <sheetView showGridLines="0" workbookViewId="0">
      <pane xSplit="3" ySplit="8" topLeftCell="D9" activePane="bottomRight" state="frozen"/>
      <selection pane="topRight"/>
      <selection pane="bottomLeft"/>
      <selection pane="bottomRight" activeCell="D9" sqref="D9"/>
    </sheetView>
  </sheetViews>
  <sheetFormatPr baseColWidth="10" defaultColWidth="8.83203125" defaultRowHeight="14"/>
  <cols>
    <col min="1" max="2" width="2" customWidth="1"/>
    <col min="3" max="3" width="48" customWidth="1"/>
    <col min="4" max="23" width="13" customWidth="1"/>
  </cols>
  <sheetData>
    <row r="1" spans="1:23" ht="19" customHeight="1">
      <c r="A1" s="2"/>
      <c r="B1" s="2"/>
      <c r="C1" s="2"/>
      <c r="D1" s="3"/>
      <c r="E1" s="3"/>
      <c r="F1" s="3"/>
      <c r="G1" s="3"/>
      <c r="H1" s="3"/>
      <c r="I1" s="3"/>
      <c r="J1" s="3"/>
      <c r="K1" s="3"/>
      <c r="L1" s="3"/>
      <c r="M1" s="3"/>
      <c r="N1" s="3"/>
      <c r="O1" s="3"/>
      <c r="P1" s="3"/>
      <c r="Q1" s="3"/>
      <c r="R1" s="3"/>
      <c r="S1" s="3"/>
      <c r="T1" s="3"/>
      <c r="U1" s="3"/>
      <c r="V1" s="3"/>
      <c r="W1" s="3"/>
    </row>
    <row r="2" spans="1:23" ht="19" customHeight="1">
      <c r="A2" s="2"/>
      <c r="B2" s="2"/>
      <c r="C2" s="4" t="s">
        <v>118</v>
      </c>
      <c r="D2" s="3"/>
      <c r="E2" s="3"/>
      <c r="F2" s="3"/>
      <c r="G2" s="3"/>
      <c r="H2" s="3"/>
      <c r="I2" s="3"/>
      <c r="J2" s="3"/>
      <c r="K2" s="3"/>
      <c r="L2" s="3"/>
      <c r="M2" s="3"/>
      <c r="N2" s="3"/>
      <c r="O2" s="3"/>
      <c r="P2" s="3"/>
      <c r="Q2" s="3"/>
      <c r="R2" s="3"/>
      <c r="S2" s="3"/>
      <c r="T2" s="3"/>
      <c r="U2" s="3"/>
      <c r="V2" s="3"/>
      <c r="W2" s="3"/>
    </row>
    <row r="3" spans="1:23" ht="19" customHeight="1">
      <c r="A3" s="2"/>
      <c r="B3" s="2"/>
      <c r="C3" s="5"/>
      <c r="D3" s="6"/>
      <c r="E3" s="6"/>
      <c r="F3" s="6"/>
      <c r="G3" s="6"/>
      <c r="H3" s="6"/>
      <c r="I3" s="6"/>
      <c r="J3" s="6"/>
      <c r="K3" s="6"/>
      <c r="L3" s="3"/>
      <c r="M3" s="3"/>
      <c r="N3" s="3"/>
      <c r="O3" s="3"/>
      <c r="P3" s="3"/>
      <c r="Q3" s="3"/>
      <c r="R3" s="3"/>
      <c r="S3" s="3"/>
      <c r="T3" s="3"/>
      <c r="U3" s="3"/>
      <c r="V3" s="3"/>
      <c r="W3" s="3"/>
    </row>
    <row r="4" spans="1:23" ht="19" customHeight="1">
      <c r="A4" s="2"/>
      <c r="B4" s="2"/>
      <c r="C4" s="2" t="s">
        <v>1</v>
      </c>
      <c r="D4" s="8" t="str">
        <f>Assumptions!$E$4</f>
        <v>Base</v>
      </c>
      <c r="E4" s="9"/>
      <c r="F4" s="10"/>
      <c r="G4" s="3"/>
      <c r="H4" s="3"/>
      <c r="I4" s="3"/>
      <c r="J4" s="3"/>
      <c r="K4" s="3"/>
      <c r="L4" s="3"/>
      <c r="M4" s="3"/>
      <c r="N4" s="3"/>
      <c r="O4" s="3"/>
      <c r="P4" s="3"/>
      <c r="Q4" s="3"/>
      <c r="R4" s="3"/>
      <c r="S4" s="3"/>
      <c r="T4" s="3"/>
      <c r="U4" s="3"/>
      <c r="V4" s="3"/>
      <c r="W4" s="3"/>
    </row>
    <row r="5" spans="1:23" ht="19" customHeight="1">
      <c r="A5" s="2"/>
      <c r="B5" s="2"/>
      <c r="C5" s="2" t="s">
        <v>119</v>
      </c>
      <c r="D5" s="3"/>
      <c r="E5" s="3"/>
      <c r="F5" s="3"/>
      <c r="G5" s="3"/>
      <c r="H5" s="3"/>
      <c r="I5" s="3"/>
      <c r="J5" s="3"/>
      <c r="K5" s="3"/>
      <c r="L5" s="3"/>
      <c r="M5" s="3"/>
      <c r="N5" s="3"/>
      <c r="O5" s="3"/>
      <c r="P5" s="3"/>
      <c r="Q5" s="3"/>
      <c r="R5" s="3"/>
      <c r="S5" s="3"/>
      <c r="T5" s="3"/>
      <c r="U5" s="3"/>
      <c r="V5" s="3"/>
      <c r="W5" s="3"/>
    </row>
    <row r="6" spans="1:23" ht="19" customHeight="1">
      <c r="A6" s="2"/>
      <c r="B6" s="2"/>
      <c r="C6" s="2"/>
      <c r="D6" s="37">
        <v>45016</v>
      </c>
      <c r="E6" s="37">
        <v>45107</v>
      </c>
      <c r="F6" s="37">
        <v>45199</v>
      </c>
      <c r="G6" s="37">
        <v>45291</v>
      </c>
      <c r="H6" s="37">
        <v>45382</v>
      </c>
      <c r="I6" s="37">
        <v>45473</v>
      </c>
      <c r="J6" s="37">
        <v>45565</v>
      </c>
      <c r="K6" s="37">
        <v>45657</v>
      </c>
      <c r="L6" s="37">
        <v>45747</v>
      </c>
      <c r="M6" s="37">
        <v>45838</v>
      </c>
      <c r="N6" s="37">
        <v>45930</v>
      </c>
      <c r="O6" s="37">
        <v>46022</v>
      </c>
      <c r="P6" s="37">
        <v>46112</v>
      </c>
      <c r="Q6" s="37">
        <v>46203</v>
      </c>
      <c r="R6" s="37">
        <v>46295</v>
      </c>
      <c r="S6" s="37">
        <v>46387</v>
      </c>
      <c r="T6" s="37">
        <v>46477</v>
      </c>
      <c r="U6" s="37">
        <v>46568</v>
      </c>
      <c r="V6" s="37">
        <v>46660</v>
      </c>
      <c r="W6" s="37">
        <v>46752</v>
      </c>
    </row>
    <row r="7" spans="1:23" ht="19" customHeight="1">
      <c r="A7" s="2"/>
      <c r="B7" s="2"/>
      <c r="C7" s="2"/>
      <c r="D7" s="58" t="s">
        <v>62</v>
      </c>
      <c r="E7" s="58" t="s">
        <v>63</v>
      </c>
      <c r="F7" s="58" t="s">
        <v>64</v>
      </c>
      <c r="G7" s="58" t="s">
        <v>65</v>
      </c>
      <c r="H7" s="58" t="s">
        <v>66</v>
      </c>
      <c r="I7" s="58" t="s">
        <v>67</v>
      </c>
      <c r="J7" s="58" t="s">
        <v>68</v>
      </c>
      <c r="K7" s="58" t="s">
        <v>69</v>
      </c>
      <c r="L7" s="58" t="s">
        <v>70</v>
      </c>
      <c r="M7" s="58" t="s">
        <v>71</v>
      </c>
      <c r="N7" s="58" t="s">
        <v>72</v>
      </c>
      <c r="O7" s="58" t="s">
        <v>73</v>
      </c>
      <c r="P7" s="58" t="s">
        <v>74</v>
      </c>
      <c r="Q7" s="58" t="s">
        <v>75</v>
      </c>
      <c r="R7" s="58" t="s">
        <v>76</v>
      </c>
      <c r="S7" s="58" t="s">
        <v>77</v>
      </c>
      <c r="T7" s="58" t="s">
        <v>78</v>
      </c>
      <c r="U7" s="58" t="s">
        <v>79</v>
      </c>
      <c r="V7" s="58" t="s">
        <v>80</v>
      </c>
      <c r="W7" s="58" t="s">
        <v>81</v>
      </c>
    </row>
    <row r="8" spans="1:23" ht="19" customHeight="1">
      <c r="A8" s="2"/>
      <c r="B8" s="2"/>
      <c r="C8" s="2"/>
      <c r="D8" s="60" t="s">
        <v>120</v>
      </c>
      <c r="E8" s="60" t="s">
        <v>120</v>
      </c>
      <c r="F8" s="60" t="s">
        <v>120</v>
      </c>
      <c r="G8" s="60" t="s">
        <v>120</v>
      </c>
      <c r="H8" s="60" t="s">
        <v>120</v>
      </c>
      <c r="I8" s="60" t="s">
        <v>120</v>
      </c>
      <c r="J8" s="60" t="s">
        <v>120</v>
      </c>
      <c r="K8" s="60" t="s">
        <v>120</v>
      </c>
      <c r="L8" s="60" t="s">
        <v>120</v>
      </c>
      <c r="M8" s="60" t="s">
        <v>120</v>
      </c>
      <c r="N8" s="60" t="s">
        <v>120</v>
      </c>
      <c r="O8" s="60" t="s">
        <v>120</v>
      </c>
      <c r="P8" s="60" t="s">
        <v>120</v>
      </c>
      <c r="Q8" s="60" t="s">
        <v>120</v>
      </c>
      <c r="R8" s="61" t="s">
        <v>15</v>
      </c>
      <c r="S8" s="61" t="s">
        <v>15</v>
      </c>
      <c r="T8" s="61" t="s">
        <v>15</v>
      </c>
      <c r="U8" s="61" t="s">
        <v>15</v>
      </c>
      <c r="V8" s="61" t="s">
        <v>15</v>
      </c>
      <c r="W8" s="61" t="s">
        <v>15</v>
      </c>
    </row>
    <row r="9" spans="1:23" ht="19" customHeight="1">
      <c r="A9" s="2"/>
      <c r="B9" s="2"/>
      <c r="C9" s="11" t="s">
        <v>121</v>
      </c>
      <c r="D9" s="12"/>
      <c r="E9" s="12"/>
      <c r="F9" s="12"/>
      <c r="G9" s="12"/>
      <c r="H9" s="12"/>
      <c r="I9" s="12"/>
      <c r="J9" s="12"/>
      <c r="K9" s="12"/>
      <c r="L9" s="12"/>
      <c r="M9" s="12"/>
      <c r="N9" s="12"/>
      <c r="O9" s="12"/>
      <c r="P9" s="12"/>
      <c r="Q9" s="12"/>
      <c r="R9" s="38"/>
      <c r="S9" s="38"/>
      <c r="T9" s="38"/>
      <c r="U9" s="38"/>
      <c r="V9" s="38"/>
      <c r="W9" s="38"/>
    </row>
    <row r="10" spans="1:23" ht="19" customHeight="1">
      <c r="A10" s="2"/>
      <c r="B10" s="2"/>
      <c r="C10" s="2" t="s">
        <v>122</v>
      </c>
      <c r="D10" s="7">
        <f>Disclosures!D9</f>
        <v>143.30000000000001</v>
      </c>
      <c r="E10" s="3">
        <f t="shared" ref="E10:W10" si="0">D17</f>
        <v>144.69999999999999</v>
      </c>
      <c r="F10" s="3">
        <f t="shared" si="0"/>
        <v>151.69999999999999</v>
      </c>
      <c r="G10" s="3">
        <f t="shared" si="0"/>
        <v>161.19999999999999</v>
      </c>
      <c r="H10" s="3">
        <f t="shared" si="0"/>
        <v>167.49999999999997</v>
      </c>
      <c r="I10" s="3">
        <f t="shared" si="0"/>
        <v>175.7</v>
      </c>
      <c r="J10" s="3">
        <f t="shared" si="0"/>
        <v>178.20000000000002</v>
      </c>
      <c r="K10" s="3">
        <f t="shared" si="0"/>
        <v>174.9</v>
      </c>
      <c r="L10" s="3">
        <f t="shared" si="0"/>
        <v>168.60000000000002</v>
      </c>
      <c r="M10" s="3">
        <f t="shared" si="0"/>
        <v>172.60000000000002</v>
      </c>
      <c r="N10" s="3">
        <f t="shared" si="0"/>
        <v>193.3</v>
      </c>
      <c r="O10" s="3">
        <f t="shared" si="0"/>
        <v>213.9</v>
      </c>
      <c r="P10" s="3">
        <f t="shared" si="0"/>
        <v>227.6</v>
      </c>
      <c r="Q10" s="3">
        <f t="shared" si="0"/>
        <v>228.7</v>
      </c>
      <c r="R10" s="39">
        <f t="shared" si="0"/>
        <v>253.59999999999997</v>
      </c>
      <c r="S10" s="39">
        <f t="shared" si="0"/>
        <v>259.93999999999994</v>
      </c>
      <c r="T10" s="39">
        <f t="shared" si="0"/>
        <v>266.43849999999992</v>
      </c>
      <c r="U10" s="39">
        <f t="shared" si="0"/>
        <v>273.0994624999999</v>
      </c>
      <c r="V10" s="39">
        <f t="shared" si="0"/>
        <v>279.92694906249989</v>
      </c>
      <c r="W10" s="39">
        <f t="shared" si="0"/>
        <v>286.92512278906241</v>
      </c>
    </row>
    <row r="11" spans="1:23" ht="19" customHeight="1">
      <c r="A11" s="2"/>
      <c r="B11" s="2"/>
      <c r="C11" s="2" t="s">
        <v>123</v>
      </c>
      <c r="D11" s="7">
        <f>Disclosures!D10</f>
        <v>1.1000000000000001</v>
      </c>
      <c r="E11" s="7">
        <f>Disclosures!E10</f>
        <v>1.5</v>
      </c>
      <c r="F11" s="7">
        <f>Disclosures!F10</f>
        <v>0.7</v>
      </c>
      <c r="G11" s="7">
        <f>Disclosures!G10</f>
        <v>-0.3</v>
      </c>
      <c r="H11" s="7">
        <f>Disclosures!H10</f>
        <v>-1.6</v>
      </c>
      <c r="I11" s="7">
        <f>Disclosures!I10</f>
        <v>2.5</v>
      </c>
      <c r="J11" s="7">
        <f>Disclosures!J10</f>
        <v>-5.5</v>
      </c>
      <c r="K11" s="7">
        <f>Disclosures!K10</f>
        <v>1.3</v>
      </c>
      <c r="L11" s="7">
        <f>Disclosures!L10</f>
        <v>3.6</v>
      </c>
      <c r="M11" s="7">
        <f>Disclosures!M10</f>
        <v>14</v>
      </c>
      <c r="N11" s="7">
        <f>Disclosures!N10</f>
        <v>9.6999999999999993</v>
      </c>
      <c r="O11" s="7">
        <f>Disclosures!O10</f>
        <v>1.4</v>
      </c>
      <c r="P11" s="7">
        <f>Disclosures!P10</f>
        <v>-1.6</v>
      </c>
      <c r="Q11" s="7">
        <f>Disclosures!Q10</f>
        <v>8.6999999999999993</v>
      </c>
      <c r="R11" s="40">
        <f>R10*Assumptions!R11</f>
        <v>2.5359999999999996</v>
      </c>
      <c r="S11" s="40">
        <f>S10*Assumptions!S11</f>
        <v>2.5993999999999993</v>
      </c>
      <c r="T11" s="40">
        <f>T10*Assumptions!T11</f>
        <v>2.6643849999999993</v>
      </c>
      <c r="U11" s="40">
        <f>U10*Assumptions!U11</f>
        <v>2.7309946249999992</v>
      </c>
      <c r="V11" s="40">
        <f>V10*Assumptions!V11</f>
        <v>2.7992694906249991</v>
      </c>
      <c r="W11" s="40">
        <f>W10*Assumptions!W11</f>
        <v>2.8692512278906244</v>
      </c>
    </row>
    <row r="12" spans="1:23" ht="19" customHeight="1">
      <c r="A12" s="2"/>
      <c r="B12" s="2"/>
      <c r="C12" s="2" t="s">
        <v>124</v>
      </c>
      <c r="D12" s="7">
        <f>Disclosures!D11</f>
        <v>0.7</v>
      </c>
      <c r="E12" s="7">
        <f>Disclosures!E11</f>
        <v>4.4000000000000004</v>
      </c>
      <c r="F12" s="7">
        <f>Disclosures!F11</f>
        <v>0.1</v>
      </c>
      <c r="G12" s="7">
        <f>Disclosures!G11</f>
        <v>4.5</v>
      </c>
      <c r="H12" s="7">
        <f>Disclosures!H11</f>
        <v>9.8000000000000007</v>
      </c>
      <c r="I12" s="7">
        <f>Disclosures!I11</f>
        <v>1.3</v>
      </c>
      <c r="J12" s="7">
        <f>Disclosures!J11</f>
        <v>0.4</v>
      </c>
      <c r="K12" s="7">
        <f>Disclosures!K11</f>
        <v>-0.6</v>
      </c>
      <c r="L12" s="7">
        <f>Disclosures!L11</f>
        <v>-1.1000000000000001</v>
      </c>
      <c r="M12" s="7">
        <f>Disclosures!M11</f>
        <v>3.6</v>
      </c>
      <c r="N12" s="7">
        <f>Disclosures!N11</f>
        <v>10</v>
      </c>
      <c r="O12" s="7">
        <f>Disclosures!O11</f>
        <v>8.9</v>
      </c>
      <c r="P12" s="7">
        <f>Disclosures!P11</f>
        <v>3.1</v>
      </c>
      <c r="Q12" s="7">
        <f>Disclosures!Q11</f>
        <v>16.7</v>
      </c>
      <c r="R12" s="40">
        <f>R10*Assumptions!R18</f>
        <v>3.8039999999999994</v>
      </c>
      <c r="S12" s="40">
        <f>S10*Assumptions!S18</f>
        <v>3.8990999999999989</v>
      </c>
      <c r="T12" s="40">
        <f>T10*Assumptions!T18</f>
        <v>3.9965774999999986</v>
      </c>
      <c r="U12" s="40">
        <f>U10*Assumptions!U18</f>
        <v>4.096491937499998</v>
      </c>
      <c r="V12" s="40">
        <f>V10*Assumptions!V18</f>
        <v>4.1989042359374977</v>
      </c>
      <c r="W12" s="40">
        <f>W10*Assumptions!W18</f>
        <v>4.3038768418359359</v>
      </c>
    </row>
    <row r="13" spans="1:23" ht="19" customHeight="1">
      <c r="A13" s="2"/>
      <c r="B13" s="2"/>
      <c r="C13" s="2" t="s">
        <v>125</v>
      </c>
      <c r="D13" s="3" t="s">
        <v>126</v>
      </c>
      <c r="E13" s="3" t="s">
        <v>126</v>
      </c>
      <c r="F13" s="3" t="s">
        <v>126</v>
      </c>
      <c r="G13" s="3" t="s">
        <v>126</v>
      </c>
      <c r="H13" s="7">
        <f>Disclosures!E51*(Disclosures!H12-Disclosures!H14)/(SUM(Disclosures!H12:K12)-SUM(Disclosures!H14:K14))</f>
        <v>0</v>
      </c>
      <c r="I13" s="7">
        <f>Disclosures!E51*(Disclosures!I12-Disclosures!I14)/(SUM(Disclosures!H12:K12)-SUM(Disclosures!H14:K14))</f>
        <v>-0.7599999999999999</v>
      </c>
      <c r="J13" s="7">
        <f>Disclosures!E51*(Disclosures!J12-Disclosures!J14)/(SUM(Disclosures!H12:K12)-SUM(Disclosures!H14:K14))</f>
        <v>1.0523076923076924</v>
      </c>
      <c r="K13" s="7">
        <f>Disclosures!E51*(Disclosures!K12-Disclosures!K14)/(SUM(Disclosures!H12:K12)-SUM(Disclosures!H14:K14))</f>
        <v>-4.092307692307692</v>
      </c>
      <c r="L13" s="7">
        <f>Disclosures!F51*(Disclosures!L12-Disclosures!L14)/(SUM(Disclosures!L12:O12)-SUM(Disclosures!L14:O14))</f>
        <v>1.620967741935484</v>
      </c>
      <c r="M13" s="7">
        <f>Disclosures!F51*(Disclosures!M12-Disclosures!M14)/(SUM(Disclosures!L12:O12)-SUM(Disclosures!L14:O14))</f>
        <v>3.3499999999999996</v>
      </c>
      <c r="N13" s="7">
        <f>Disclosures!F51*(Disclosures!N12-Disclosures!N14)/(SUM(Disclosures!L12:O12)-SUM(Disclosures!L14:O14))</f>
        <v>0.97258064516129028</v>
      </c>
      <c r="O13" s="7">
        <f>Disclosures!F51*(Disclosures!O12-Disclosures!O14)/(SUM(Disclosures!L12:O12)-SUM(Disclosures!L14:O14))</f>
        <v>0.7564516129032256</v>
      </c>
      <c r="P13" s="3" t="s">
        <v>126</v>
      </c>
      <c r="Q13" s="3" t="s">
        <v>126</v>
      </c>
      <c r="R13" s="40">
        <f>Assumptions!$D$67</f>
        <v>0</v>
      </c>
      <c r="S13" s="40">
        <f>Assumptions!$D$67</f>
        <v>0</v>
      </c>
      <c r="T13" s="40">
        <f>Assumptions!$D$67</f>
        <v>0</v>
      </c>
      <c r="U13" s="40">
        <f>Assumptions!$D$67</f>
        <v>0</v>
      </c>
      <c r="V13" s="40">
        <f>Assumptions!$D$67</f>
        <v>0</v>
      </c>
      <c r="W13" s="40">
        <f>Assumptions!$D$67</f>
        <v>0</v>
      </c>
    </row>
    <row r="14" spans="1:23" ht="19" customHeight="1">
      <c r="A14" s="2"/>
      <c r="B14" s="2"/>
      <c r="C14" s="2" t="s">
        <v>127</v>
      </c>
      <c r="D14" s="7">
        <f>Disclosures!D14</f>
        <v>0</v>
      </c>
      <c r="E14" s="7">
        <f>Disclosures!E14</f>
        <v>0</v>
      </c>
      <c r="F14" s="7">
        <f>Disclosures!F14</f>
        <v>10.8</v>
      </c>
      <c r="G14" s="7">
        <f>Disclosures!G14</f>
        <v>0</v>
      </c>
      <c r="H14" s="7">
        <f>Disclosures!H14</f>
        <v>0</v>
      </c>
      <c r="I14" s="7">
        <f>Disclosures!I14</f>
        <v>0</v>
      </c>
      <c r="J14" s="7">
        <f>Disclosures!J14</f>
        <v>0</v>
      </c>
      <c r="K14" s="7">
        <f>Disclosures!K14</f>
        <v>0</v>
      </c>
      <c r="L14" s="7">
        <f>Disclosures!L14</f>
        <v>0</v>
      </c>
      <c r="M14" s="7">
        <f>Disclosures!M14</f>
        <v>0</v>
      </c>
      <c r="N14" s="7">
        <f>Disclosures!N14</f>
        <v>0</v>
      </c>
      <c r="O14" s="7">
        <f>Disclosures!O14</f>
        <v>2.7</v>
      </c>
      <c r="P14" s="7">
        <f>Disclosures!P14</f>
        <v>0</v>
      </c>
      <c r="Q14" s="7">
        <f>Disclosures!Q14</f>
        <v>0</v>
      </c>
      <c r="R14" s="40">
        <f>Assumptions!$D$67</f>
        <v>0</v>
      </c>
      <c r="S14" s="40">
        <f>Assumptions!$D$67</f>
        <v>0</v>
      </c>
      <c r="T14" s="40">
        <f>Assumptions!$D$67</f>
        <v>0</v>
      </c>
      <c r="U14" s="40">
        <f>Assumptions!$D$67</f>
        <v>0</v>
      </c>
      <c r="V14" s="40">
        <f>Assumptions!$D$67</f>
        <v>0</v>
      </c>
      <c r="W14" s="40">
        <f>Assumptions!$D$67</f>
        <v>0</v>
      </c>
    </row>
    <row r="15" spans="1:23" ht="19" customHeight="1">
      <c r="A15" s="2"/>
      <c r="B15" s="2"/>
      <c r="C15" s="2" t="s">
        <v>128</v>
      </c>
      <c r="D15" s="3" t="s">
        <v>126</v>
      </c>
      <c r="E15" s="3" t="s">
        <v>126</v>
      </c>
      <c r="F15" s="3" t="s">
        <v>126</v>
      </c>
      <c r="G15" s="3" t="s">
        <v>126</v>
      </c>
      <c r="H15" s="7">
        <f>Disclosures!$E$52*Assumptions!$D$48</f>
        <v>-0.52500000000000002</v>
      </c>
      <c r="I15" s="7">
        <f>Disclosures!$E$52*Assumptions!$D$48</f>
        <v>-0.52500000000000002</v>
      </c>
      <c r="J15" s="7">
        <f>Disclosures!$E$52*Assumptions!$D$48</f>
        <v>-0.52500000000000002</v>
      </c>
      <c r="K15" s="7">
        <f>Disclosures!$E$52*Assumptions!$D$48</f>
        <v>-0.52500000000000002</v>
      </c>
      <c r="L15" s="3" t="s">
        <v>126</v>
      </c>
      <c r="M15" s="3" t="s">
        <v>126</v>
      </c>
      <c r="N15" s="3" t="s">
        <v>126</v>
      </c>
      <c r="O15" s="3" t="s">
        <v>126</v>
      </c>
      <c r="P15" s="3" t="s">
        <v>126</v>
      </c>
      <c r="Q15" s="3" t="s">
        <v>126</v>
      </c>
      <c r="R15" s="40">
        <f>Assumptions!$D$67</f>
        <v>0</v>
      </c>
      <c r="S15" s="40">
        <f>Assumptions!$D$67</f>
        <v>0</v>
      </c>
      <c r="T15" s="40">
        <f>Assumptions!$D$67</f>
        <v>0</v>
      </c>
      <c r="U15" s="40">
        <f>Assumptions!$D$67</f>
        <v>0</v>
      </c>
      <c r="V15" s="40">
        <f>Assumptions!$D$67</f>
        <v>0</v>
      </c>
      <c r="W15" s="40">
        <f>Assumptions!$D$67</f>
        <v>0</v>
      </c>
    </row>
    <row r="16" spans="1:23" ht="19" customHeight="1">
      <c r="A16" s="2"/>
      <c r="B16" s="2"/>
      <c r="C16" s="2" t="s">
        <v>129</v>
      </c>
      <c r="D16" s="7">
        <f>Disclosures!D12-SUM(D13:D15)</f>
        <v>-0.4</v>
      </c>
      <c r="E16" s="7">
        <f>Disclosures!E12-SUM(E13:E15)</f>
        <v>1.1000000000000001</v>
      </c>
      <c r="F16" s="7">
        <f>Disclosures!F12-SUM(F13:F15)</f>
        <v>-2.1000000000000014</v>
      </c>
      <c r="G16" s="7">
        <f>Disclosures!G12-SUM(G13:G15)</f>
        <v>2.1</v>
      </c>
      <c r="H16" s="7">
        <f>Disclosures!H12-SUM(H13:H15)</f>
        <v>0.52500000000000002</v>
      </c>
      <c r="I16" s="7">
        <f>Disclosures!I12-SUM(I13:I15)</f>
        <v>-1.5000000000000124E-2</v>
      </c>
      <c r="J16" s="7">
        <f>Disclosures!J12-SUM(J13:J15)</f>
        <v>1.2726923076923078</v>
      </c>
      <c r="K16" s="7">
        <f>Disclosures!K12-SUM(K13:K15)</f>
        <v>-2.3826923076923077</v>
      </c>
      <c r="L16" s="7">
        <f>Disclosures!L12-SUM(L13:L15)</f>
        <v>-0.12096774193548399</v>
      </c>
      <c r="M16" s="7">
        <f>Disclosures!M12-SUM(M13:M15)</f>
        <v>-0.24999999999999956</v>
      </c>
      <c r="N16" s="7">
        <f>Disclosures!N12-SUM(N13:N15)</f>
        <v>-7.2580645161290258E-2</v>
      </c>
      <c r="O16" s="7">
        <f>Disclosures!O12-SUM(O13:O15)</f>
        <v>-5.6451612903225978E-2</v>
      </c>
      <c r="P16" s="7">
        <f>Disclosures!P12-SUM(P13:P15)</f>
        <v>-0.4</v>
      </c>
      <c r="Q16" s="7">
        <f>Disclosures!Q12-SUM(Q13:Q15)</f>
        <v>-0.5</v>
      </c>
      <c r="R16" s="40">
        <f>Assumptions!$D$67</f>
        <v>0</v>
      </c>
      <c r="S16" s="40">
        <f>Assumptions!$D$67</f>
        <v>0</v>
      </c>
      <c r="T16" s="40">
        <f>Assumptions!$D$67</f>
        <v>0</v>
      </c>
      <c r="U16" s="40">
        <f>Assumptions!$D$67</f>
        <v>0</v>
      </c>
      <c r="V16" s="40">
        <f>Assumptions!$D$67</f>
        <v>0</v>
      </c>
      <c r="W16" s="40">
        <f>Assumptions!$D$67</f>
        <v>0</v>
      </c>
    </row>
    <row r="17" spans="1:23" ht="19" customHeight="1">
      <c r="A17" s="2"/>
      <c r="B17" s="2"/>
      <c r="C17" s="41" t="s">
        <v>130</v>
      </c>
      <c r="D17" s="42">
        <f t="shared" ref="D17:W17" si="1">SUM(D10:D16)</f>
        <v>144.69999999999999</v>
      </c>
      <c r="E17" s="42">
        <f t="shared" si="1"/>
        <v>151.69999999999999</v>
      </c>
      <c r="F17" s="42">
        <f t="shared" si="1"/>
        <v>161.19999999999999</v>
      </c>
      <c r="G17" s="42">
        <f t="shared" si="1"/>
        <v>167.49999999999997</v>
      </c>
      <c r="H17" s="42">
        <f t="shared" si="1"/>
        <v>175.7</v>
      </c>
      <c r="I17" s="42">
        <f t="shared" si="1"/>
        <v>178.20000000000002</v>
      </c>
      <c r="J17" s="42">
        <f t="shared" si="1"/>
        <v>174.9</v>
      </c>
      <c r="K17" s="42">
        <f t="shared" si="1"/>
        <v>168.60000000000002</v>
      </c>
      <c r="L17" s="42">
        <f t="shared" si="1"/>
        <v>172.60000000000002</v>
      </c>
      <c r="M17" s="42">
        <f t="shared" si="1"/>
        <v>193.3</v>
      </c>
      <c r="N17" s="42">
        <f t="shared" si="1"/>
        <v>213.9</v>
      </c>
      <c r="O17" s="42">
        <f t="shared" si="1"/>
        <v>227.6</v>
      </c>
      <c r="P17" s="42">
        <f t="shared" si="1"/>
        <v>228.7</v>
      </c>
      <c r="Q17" s="42">
        <f t="shared" si="1"/>
        <v>253.59999999999997</v>
      </c>
      <c r="R17" s="43">
        <f t="shared" si="1"/>
        <v>259.93999999999994</v>
      </c>
      <c r="S17" s="43">
        <f t="shared" si="1"/>
        <v>266.43849999999992</v>
      </c>
      <c r="T17" s="43">
        <f t="shared" si="1"/>
        <v>273.0994624999999</v>
      </c>
      <c r="U17" s="43">
        <f t="shared" si="1"/>
        <v>279.92694906249989</v>
      </c>
      <c r="V17" s="43">
        <f t="shared" si="1"/>
        <v>286.92512278906241</v>
      </c>
      <c r="W17" s="43">
        <f t="shared" si="1"/>
        <v>294.09825085878896</v>
      </c>
    </row>
    <row r="18" spans="1:23" ht="19" customHeight="1">
      <c r="A18" s="2"/>
      <c r="B18" s="2"/>
      <c r="C18" s="2" t="s">
        <v>131</v>
      </c>
      <c r="D18" s="3">
        <f t="shared" ref="D18:W18" si="2">AVERAGE(D10,D17)</f>
        <v>144</v>
      </c>
      <c r="E18" s="3">
        <f t="shared" si="2"/>
        <v>148.19999999999999</v>
      </c>
      <c r="F18" s="3">
        <f t="shared" si="2"/>
        <v>156.44999999999999</v>
      </c>
      <c r="G18" s="3">
        <f t="shared" si="2"/>
        <v>164.34999999999997</v>
      </c>
      <c r="H18" s="3">
        <f t="shared" si="2"/>
        <v>171.59999999999997</v>
      </c>
      <c r="I18" s="3">
        <f t="shared" si="2"/>
        <v>176.95</v>
      </c>
      <c r="J18" s="3">
        <f t="shared" si="2"/>
        <v>176.55</v>
      </c>
      <c r="K18" s="3">
        <f t="shared" si="2"/>
        <v>171.75</v>
      </c>
      <c r="L18" s="3">
        <f t="shared" si="2"/>
        <v>170.60000000000002</v>
      </c>
      <c r="M18" s="3">
        <f t="shared" si="2"/>
        <v>182.95000000000002</v>
      </c>
      <c r="N18" s="3">
        <f t="shared" si="2"/>
        <v>203.60000000000002</v>
      </c>
      <c r="O18" s="3">
        <f t="shared" si="2"/>
        <v>220.75</v>
      </c>
      <c r="P18" s="3">
        <f t="shared" si="2"/>
        <v>228.14999999999998</v>
      </c>
      <c r="Q18" s="3">
        <f t="shared" si="2"/>
        <v>241.14999999999998</v>
      </c>
      <c r="R18" s="39">
        <f t="shared" si="2"/>
        <v>256.77</v>
      </c>
      <c r="S18" s="39">
        <f t="shared" si="2"/>
        <v>263.1892499999999</v>
      </c>
      <c r="T18" s="39">
        <f t="shared" si="2"/>
        <v>269.76898124999991</v>
      </c>
      <c r="U18" s="39">
        <f t="shared" si="2"/>
        <v>276.51320578124989</v>
      </c>
      <c r="V18" s="39">
        <f t="shared" si="2"/>
        <v>283.42603592578115</v>
      </c>
      <c r="W18" s="39">
        <f t="shared" si="2"/>
        <v>290.51168682392569</v>
      </c>
    </row>
    <row r="19" spans="1:23" ht="19" customHeight="1">
      <c r="A19" s="2"/>
      <c r="B19" s="2"/>
      <c r="C19" s="45" t="s">
        <v>82</v>
      </c>
      <c r="D19" s="46">
        <f t="shared" ref="D19:W19" si="3">D11/D10</f>
        <v>7.6762037683182132E-3</v>
      </c>
      <c r="E19" s="46">
        <f t="shared" si="3"/>
        <v>1.0366275051831375E-2</v>
      </c>
      <c r="F19" s="46">
        <f t="shared" si="3"/>
        <v>4.6143704680290049E-3</v>
      </c>
      <c r="G19" s="46">
        <f t="shared" si="3"/>
        <v>-1.8610421836228288E-3</v>
      </c>
      <c r="H19" s="46">
        <f t="shared" si="3"/>
        <v>-9.5522388059701511E-3</v>
      </c>
      <c r="I19" s="46">
        <f t="shared" si="3"/>
        <v>1.4228799089356859E-2</v>
      </c>
      <c r="J19" s="46">
        <f t="shared" si="3"/>
        <v>-3.0864197530864196E-2</v>
      </c>
      <c r="K19" s="46">
        <f t="shared" si="3"/>
        <v>7.4328187535734709E-3</v>
      </c>
      <c r="L19" s="46">
        <f t="shared" si="3"/>
        <v>2.1352313167259784E-2</v>
      </c>
      <c r="M19" s="46">
        <f t="shared" si="3"/>
        <v>8.1112398609501729E-2</v>
      </c>
      <c r="N19" s="46">
        <f t="shared" si="3"/>
        <v>5.0181065700982921E-2</v>
      </c>
      <c r="O19" s="46">
        <f t="shared" si="3"/>
        <v>6.5451145395044406E-3</v>
      </c>
      <c r="P19" s="46">
        <f t="shared" si="3"/>
        <v>-7.0298769771529003E-3</v>
      </c>
      <c r="Q19" s="46">
        <f t="shared" si="3"/>
        <v>3.8041101880192392E-2</v>
      </c>
      <c r="R19" s="47">
        <f t="shared" si="3"/>
        <v>0.01</v>
      </c>
      <c r="S19" s="47">
        <f t="shared" si="3"/>
        <v>0.01</v>
      </c>
      <c r="T19" s="47">
        <f t="shared" si="3"/>
        <v>0.01</v>
      </c>
      <c r="U19" s="47">
        <f t="shared" si="3"/>
        <v>0.01</v>
      </c>
      <c r="V19" s="47">
        <f t="shared" si="3"/>
        <v>0.01</v>
      </c>
      <c r="W19" s="47">
        <f t="shared" si="3"/>
        <v>0.01</v>
      </c>
    </row>
    <row r="20" spans="1:23" ht="19" customHeight="1">
      <c r="A20" s="2"/>
      <c r="B20" s="2"/>
      <c r="C20" s="45" t="s">
        <v>132</v>
      </c>
      <c r="D20" s="46">
        <f t="shared" ref="D20:W20" si="4">D12/D10</f>
        <v>4.8848569434752258E-3</v>
      </c>
      <c r="E20" s="46">
        <f t="shared" si="4"/>
        <v>3.0407740152038707E-2</v>
      </c>
      <c r="F20" s="46">
        <f t="shared" si="4"/>
        <v>6.5919578114700071E-4</v>
      </c>
      <c r="G20" s="46">
        <f t="shared" si="4"/>
        <v>2.7915632754342435E-2</v>
      </c>
      <c r="H20" s="46">
        <f t="shared" si="4"/>
        <v>5.8507462686567181E-2</v>
      </c>
      <c r="I20" s="46">
        <f t="shared" si="4"/>
        <v>7.3989755264655668E-3</v>
      </c>
      <c r="J20" s="46">
        <f t="shared" si="4"/>
        <v>2.2446689113355778E-3</v>
      </c>
      <c r="K20" s="46">
        <f t="shared" si="4"/>
        <v>-3.4305317324185248E-3</v>
      </c>
      <c r="L20" s="46">
        <f t="shared" si="4"/>
        <v>-6.5243179122182679E-3</v>
      </c>
      <c r="M20" s="46">
        <f t="shared" si="4"/>
        <v>2.0857473928157587E-2</v>
      </c>
      <c r="N20" s="46">
        <f t="shared" si="4"/>
        <v>5.1733057423693739E-2</v>
      </c>
      <c r="O20" s="46">
        <f t="shared" si="4"/>
        <v>4.1608228143992523E-2</v>
      </c>
      <c r="P20" s="46">
        <f t="shared" si="4"/>
        <v>1.3620386643233744E-2</v>
      </c>
      <c r="Q20" s="46">
        <f t="shared" si="4"/>
        <v>7.3021425448185392E-2</v>
      </c>
      <c r="R20" s="47">
        <f t="shared" si="4"/>
        <v>1.4999999999999999E-2</v>
      </c>
      <c r="S20" s="47">
        <f t="shared" si="4"/>
        <v>1.4999999999999999E-2</v>
      </c>
      <c r="T20" s="47">
        <f t="shared" si="4"/>
        <v>1.4999999999999999E-2</v>
      </c>
      <c r="U20" s="47">
        <f t="shared" si="4"/>
        <v>1.4999999999999998E-2</v>
      </c>
      <c r="V20" s="47">
        <f t="shared" si="4"/>
        <v>1.4999999999999998E-2</v>
      </c>
      <c r="W20" s="47">
        <f t="shared" si="4"/>
        <v>1.4999999999999999E-2</v>
      </c>
    </row>
    <row r="21" spans="1:23" ht="19" customHeight="1">
      <c r="A21" s="2"/>
      <c r="B21" s="2"/>
      <c r="C21" s="2"/>
      <c r="D21" s="3"/>
      <c r="E21" s="3"/>
      <c r="F21" s="3"/>
      <c r="G21" s="3"/>
      <c r="H21" s="3"/>
      <c r="I21" s="3"/>
      <c r="J21" s="3"/>
      <c r="K21" s="3"/>
      <c r="L21" s="3"/>
      <c r="M21" s="3"/>
      <c r="N21" s="3"/>
      <c r="O21" s="3"/>
      <c r="P21" s="3"/>
      <c r="Q21" s="3"/>
      <c r="R21" s="39"/>
      <c r="S21" s="39"/>
      <c r="T21" s="39"/>
      <c r="U21" s="39"/>
      <c r="V21" s="39"/>
      <c r="W21" s="39"/>
    </row>
    <row r="22" spans="1:23" ht="19" customHeight="1">
      <c r="A22" s="2"/>
      <c r="B22" s="2"/>
      <c r="C22" s="2"/>
      <c r="D22" s="3"/>
      <c r="E22" s="3"/>
      <c r="F22" s="3"/>
      <c r="G22" s="3"/>
      <c r="H22" s="3"/>
      <c r="I22" s="3"/>
      <c r="J22" s="3"/>
      <c r="K22" s="3"/>
      <c r="L22" s="3"/>
      <c r="M22" s="3"/>
      <c r="N22" s="3"/>
      <c r="O22" s="3"/>
      <c r="P22" s="3"/>
      <c r="Q22" s="3"/>
      <c r="R22" s="39"/>
      <c r="S22" s="39"/>
      <c r="T22" s="39"/>
      <c r="U22" s="39"/>
      <c r="V22" s="39"/>
      <c r="W22" s="39"/>
    </row>
    <row r="23" spans="1:23" ht="19" customHeight="1">
      <c r="A23" s="2"/>
      <c r="B23" s="2"/>
      <c r="C23" s="11" t="s">
        <v>133</v>
      </c>
      <c r="D23" s="12"/>
      <c r="E23" s="12"/>
      <c r="F23" s="12"/>
      <c r="G23" s="12"/>
      <c r="H23" s="12"/>
      <c r="I23" s="12"/>
      <c r="J23" s="12"/>
      <c r="K23" s="12"/>
      <c r="L23" s="12"/>
      <c r="M23" s="12"/>
      <c r="N23" s="12"/>
      <c r="O23" s="12"/>
      <c r="P23" s="12"/>
      <c r="Q23" s="12"/>
      <c r="R23" s="38"/>
      <c r="S23" s="38"/>
      <c r="T23" s="38"/>
      <c r="U23" s="38"/>
      <c r="V23" s="38"/>
      <c r="W23" s="38"/>
    </row>
    <row r="24" spans="1:23" ht="19" customHeight="1">
      <c r="A24" s="2"/>
      <c r="B24" s="2"/>
      <c r="C24" s="2" t="s">
        <v>134</v>
      </c>
      <c r="D24" s="3">
        <f t="shared" ref="D24:Q24" si="5">D27-D25</f>
        <v>234.57905544147843</v>
      </c>
      <c r="E24" s="3">
        <f t="shared" si="5"/>
        <v>241.42094455852157</v>
      </c>
      <c r="F24" s="3">
        <f t="shared" si="5"/>
        <v>253.10956982543644</v>
      </c>
      <c r="G24" s="3">
        <f t="shared" si="5"/>
        <v>265.89043017456356</v>
      </c>
      <c r="H24" s="3">
        <f t="shared" si="5"/>
        <v>279.64079759001578</v>
      </c>
      <c r="I24" s="3">
        <f t="shared" si="5"/>
        <v>288.35920240998422</v>
      </c>
      <c r="J24" s="3">
        <f t="shared" si="5"/>
        <v>287.40697674418612</v>
      </c>
      <c r="K24" s="3">
        <f t="shared" si="5"/>
        <v>279.59302325581393</v>
      </c>
      <c r="L24" s="3">
        <f t="shared" si="5"/>
        <v>262.01612218922355</v>
      </c>
      <c r="M24" s="3">
        <f t="shared" si="5"/>
        <v>280.98387781077633</v>
      </c>
      <c r="N24" s="3">
        <f t="shared" si="5"/>
        <v>284.51702603982562</v>
      </c>
      <c r="O24" s="3">
        <f t="shared" si="5"/>
        <v>308.48297396017438</v>
      </c>
      <c r="P24" s="3">
        <f t="shared" si="5"/>
        <v>325.72022160664824</v>
      </c>
      <c r="Q24" s="3">
        <f t="shared" si="5"/>
        <v>344.27977839335176</v>
      </c>
      <c r="R24" s="39" t="s">
        <v>135</v>
      </c>
      <c r="S24" s="39" t="s">
        <v>135</v>
      </c>
      <c r="T24" s="39" t="s">
        <v>135</v>
      </c>
      <c r="U24" s="39" t="s">
        <v>135</v>
      </c>
      <c r="V24" s="39" t="s">
        <v>135</v>
      </c>
      <c r="W24" s="39" t="s">
        <v>135</v>
      </c>
    </row>
    <row r="25" spans="1:23" ht="19" customHeight="1">
      <c r="A25" s="2"/>
      <c r="B25" s="2"/>
      <c r="C25" s="2" t="s">
        <v>136</v>
      </c>
      <c r="D25" s="3">
        <f t="shared" ref="D25:Q25" si="6">-D82*D63</f>
        <v>-7.8850102669404523</v>
      </c>
      <c r="E25" s="3">
        <f t="shared" si="6"/>
        <v>-8.1149897330595486</v>
      </c>
      <c r="F25" s="3">
        <f t="shared" si="6"/>
        <v>-7.8029925187032427</v>
      </c>
      <c r="G25" s="3">
        <f t="shared" si="6"/>
        <v>-8.1970074812967582</v>
      </c>
      <c r="H25" s="3">
        <f t="shared" si="6"/>
        <v>-8.3695309137856828</v>
      </c>
      <c r="I25" s="3">
        <f t="shared" si="6"/>
        <v>-8.6304690862143172</v>
      </c>
      <c r="J25" s="3">
        <f t="shared" si="6"/>
        <v>-10.644702842377262</v>
      </c>
      <c r="K25" s="3">
        <f t="shared" si="6"/>
        <v>-10.355297157622738</v>
      </c>
      <c r="L25" s="3">
        <f t="shared" si="6"/>
        <v>-12.545891670202234</v>
      </c>
      <c r="M25" s="3">
        <f t="shared" si="6"/>
        <v>-13.454108329797764</v>
      </c>
      <c r="N25" s="3">
        <f t="shared" si="6"/>
        <v>-15.83315659243549</v>
      </c>
      <c r="O25" s="3">
        <f t="shared" si="6"/>
        <v>-17.16684340756451</v>
      </c>
      <c r="P25" s="3">
        <f t="shared" si="6"/>
        <v>-20.90443213296399</v>
      </c>
      <c r="Q25" s="3">
        <f t="shared" si="6"/>
        <v>-22.09556786703601</v>
      </c>
      <c r="R25" s="39" t="s">
        <v>135</v>
      </c>
      <c r="S25" s="39" t="s">
        <v>135</v>
      </c>
      <c r="T25" s="39" t="s">
        <v>135</v>
      </c>
      <c r="U25" s="39" t="s">
        <v>135</v>
      </c>
      <c r="V25" s="39" t="s">
        <v>135</v>
      </c>
      <c r="W25" s="39" t="s">
        <v>135</v>
      </c>
    </row>
    <row r="26" spans="1:23" ht="19" customHeight="1">
      <c r="A26" s="2"/>
      <c r="B26" s="2"/>
      <c r="C26" s="2" t="s">
        <v>137</v>
      </c>
      <c r="D26" s="24">
        <f>D27/D18/Assumptions!$D$49/Assumptions!$D$48*Assumptions!$D$60</f>
        <v>62.970568104038328</v>
      </c>
      <c r="E26" s="24">
        <f>E27/E18/Assumptions!$D$49/Assumptions!$D$48*Assumptions!$D$60</f>
        <v>62.970568104038328</v>
      </c>
      <c r="F26" s="24">
        <f>F27/F18/Assumptions!$D$49/Assumptions!$D$48*Assumptions!$D$60</f>
        <v>62.718204488778063</v>
      </c>
      <c r="G26" s="24">
        <f>G27/G18/Assumptions!$D$49/Assumptions!$D$48*Assumptions!$D$60</f>
        <v>62.718204488778063</v>
      </c>
      <c r="H26" s="24">
        <f>H27/H18/Assumptions!$D$49/Assumptions!$D$48*Assumptions!$D$60</f>
        <v>63.233395495624741</v>
      </c>
      <c r="I26" s="24">
        <f>I27/I18/Assumptions!$D$49/Assumptions!$D$48*Assumptions!$D$60</f>
        <v>63.233395495624734</v>
      </c>
      <c r="J26" s="24">
        <f>J27/J18/Assumptions!$D$49/Assumptions!$D$48*Assumptions!$D$60</f>
        <v>62.704565030146433</v>
      </c>
      <c r="K26" s="24">
        <f>K27/K18/Assumptions!$D$49/Assumptions!$D$48*Assumptions!$D$60</f>
        <v>62.704565030146426</v>
      </c>
      <c r="L26" s="24">
        <f>L27/L18/Assumptions!$D$49/Assumptions!$D$48*Assumptions!$D$60</f>
        <v>58.492433884881891</v>
      </c>
      <c r="M26" s="24">
        <f>M27/M18/Assumptions!$D$49/Assumptions!$D$48*Assumptions!$D$60</f>
        <v>58.492433884881891</v>
      </c>
      <c r="N26" s="24">
        <f>N27/N18/Assumptions!$D$49/Assumptions!$D$48*Assumptions!$D$60</f>
        <v>52.786614822669961</v>
      </c>
      <c r="O26" s="24">
        <f>O27/O18/Assumptions!$D$49/Assumptions!$D$48*Assumptions!$D$60</f>
        <v>52.786614822669968</v>
      </c>
      <c r="P26" s="24">
        <f>P27/P18/Assumptions!$D$49/Assumptions!$D$48*Assumptions!$D$60</f>
        <v>53.441295546558713</v>
      </c>
      <c r="Q26" s="24">
        <f>Q27/Q18/Assumptions!$D$49/Assumptions!$D$48*Assumptions!$D$60</f>
        <v>53.441295546558713</v>
      </c>
      <c r="R26" s="49">
        <f>Assumptions!R25</f>
        <v>56</v>
      </c>
      <c r="S26" s="49">
        <f>Assumptions!S25</f>
        <v>56</v>
      </c>
      <c r="T26" s="49">
        <f>Assumptions!T25</f>
        <v>56</v>
      </c>
      <c r="U26" s="49">
        <f>Assumptions!U25</f>
        <v>56</v>
      </c>
      <c r="V26" s="49">
        <f>Assumptions!V25</f>
        <v>56</v>
      </c>
      <c r="W26" s="49">
        <f>Assumptions!W25</f>
        <v>56</v>
      </c>
    </row>
    <row r="27" spans="1:23" ht="19" customHeight="1">
      <c r="A27" s="2"/>
      <c r="B27" s="2"/>
      <c r="C27" s="41" t="s">
        <v>138</v>
      </c>
      <c r="D27" s="42">
        <f t="shared" ref="D27:Q27" si="7">D65*D63</f>
        <v>226.69404517453799</v>
      </c>
      <c r="E27" s="42">
        <f t="shared" si="7"/>
        <v>233.30595482546201</v>
      </c>
      <c r="F27" s="42">
        <f t="shared" si="7"/>
        <v>245.3065773067332</v>
      </c>
      <c r="G27" s="42">
        <f t="shared" si="7"/>
        <v>257.69342269326683</v>
      </c>
      <c r="H27" s="42">
        <f t="shared" si="7"/>
        <v>271.27126667623008</v>
      </c>
      <c r="I27" s="42">
        <f t="shared" si="7"/>
        <v>279.72873332376992</v>
      </c>
      <c r="J27" s="42">
        <f t="shared" si="7"/>
        <v>276.76227390180884</v>
      </c>
      <c r="K27" s="42">
        <f t="shared" si="7"/>
        <v>269.23772609819122</v>
      </c>
      <c r="L27" s="42">
        <f t="shared" si="7"/>
        <v>249.47023051902133</v>
      </c>
      <c r="M27" s="42">
        <f t="shared" si="7"/>
        <v>267.52976948097859</v>
      </c>
      <c r="N27" s="42">
        <f t="shared" si="7"/>
        <v>268.68386944739012</v>
      </c>
      <c r="O27" s="42">
        <f t="shared" si="7"/>
        <v>291.31613055260988</v>
      </c>
      <c r="P27" s="42">
        <f t="shared" si="7"/>
        <v>304.81578947368422</v>
      </c>
      <c r="Q27" s="42">
        <f t="shared" si="7"/>
        <v>322.18421052631578</v>
      </c>
      <c r="R27" s="44">
        <f>R18*Assumptions!$D$49*R26/Assumptions!$D$60*Assumptions!$D$48</f>
        <v>359.47799999999995</v>
      </c>
      <c r="S27" s="44">
        <f>S18*Assumptions!$D$49*S26/Assumptions!$D$60*Assumptions!$D$48</f>
        <v>368.46494999999982</v>
      </c>
      <c r="T27" s="44">
        <f>T18*Assumptions!$D$49*T26/Assumptions!$D$60*Assumptions!$D$48</f>
        <v>377.67657374999982</v>
      </c>
      <c r="U27" s="44">
        <f>U18*Assumptions!$D$49*U26/Assumptions!$D$60*Assumptions!$D$48</f>
        <v>387.11848809374987</v>
      </c>
      <c r="V27" s="44">
        <f>V18*Assumptions!$D$49*V26/Assumptions!$D$60*Assumptions!$D$48</f>
        <v>396.79645029609355</v>
      </c>
      <c r="W27" s="44">
        <f>W18*Assumptions!$D$49*W26/Assumptions!$D$60*Assumptions!$D$48</f>
        <v>406.71636155349597</v>
      </c>
    </row>
    <row r="28" spans="1:23" ht="19" customHeight="1">
      <c r="A28" s="2"/>
      <c r="B28" s="2"/>
      <c r="C28" s="2" t="s">
        <v>139</v>
      </c>
      <c r="D28" s="3">
        <f t="shared" ref="D28:Q28" si="8">D66*D64</f>
        <v>3.2</v>
      </c>
      <c r="E28" s="3">
        <f t="shared" si="8"/>
        <v>28.8</v>
      </c>
      <c r="F28" s="3">
        <f t="shared" si="8"/>
        <v>14.8</v>
      </c>
      <c r="G28" s="3">
        <f t="shared" si="8"/>
        <v>133.20000000000002</v>
      </c>
      <c r="H28" s="3">
        <f t="shared" si="8"/>
        <v>17</v>
      </c>
      <c r="I28" s="3">
        <f t="shared" si="8"/>
        <v>153</v>
      </c>
      <c r="J28" s="3">
        <f t="shared" si="8"/>
        <v>14</v>
      </c>
      <c r="K28" s="3">
        <f t="shared" si="8"/>
        <v>126</v>
      </c>
      <c r="L28" s="3">
        <f t="shared" si="8"/>
        <v>6.7</v>
      </c>
      <c r="M28" s="3">
        <f t="shared" si="8"/>
        <v>60.300000000000004</v>
      </c>
      <c r="N28" s="3">
        <f t="shared" si="8"/>
        <v>21.400000000000002</v>
      </c>
      <c r="O28" s="3">
        <f t="shared" si="8"/>
        <v>192.6</v>
      </c>
      <c r="P28" s="3">
        <f t="shared" si="8"/>
        <v>20.700000000000003</v>
      </c>
      <c r="Q28" s="3">
        <f t="shared" si="8"/>
        <v>186.3</v>
      </c>
      <c r="R28" s="40">
        <f>Assumptions!R32</f>
        <v>21.400000000000002</v>
      </c>
      <c r="S28" s="40">
        <f>Assumptions!S32</f>
        <v>192.6</v>
      </c>
      <c r="T28" s="40">
        <f>Assumptions!T32</f>
        <v>6.7</v>
      </c>
      <c r="U28" s="40">
        <f>Assumptions!U32</f>
        <v>60.300000000000004</v>
      </c>
      <c r="V28" s="40">
        <f>Assumptions!V32</f>
        <v>21.400000000000002</v>
      </c>
      <c r="W28" s="40">
        <f>Assumptions!W32</f>
        <v>192.6</v>
      </c>
    </row>
    <row r="29" spans="1:23" ht="19" customHeight="1">
      <c r="A29" s="2"/>
      <c r="B29" s="2"/>
      <c r="C29" s="2" t="s">
        <v>140</v>
      </c>
      <c r="D29" s="7">
        <f>D67*Assumptions!$D$43</f>
        <v>9.5</v>
      </c>
      <c r="E29" s="7">
        <f>E67*Assumptions!$D$43</f>
        <v>9.5</v>
      </c>
      <c r="F29" s="7">
        <f>F67*Assumptions!$D$43</f>
        <v>14.5</v>
      </c>
      <c r="G29" s="7">
        <f>G67*Assumptions!$D$43</f>
        <v>14.5</v>
      </c>
      <c r="H29" s="7">
        <f>H67*Assumptions!$D$43</f>
        <v>19.5</v>
      </c>
      <c r="I29" s="7">
        <f>I67*Assumptions!$D$43</f>
        <v>19.5</v>
      </c>
      <c r="J29" s="7">
        <f>J67*Assumptions!$D$43</f>
        <v>5.5</v>
      </c>
      <c r="K29" s="7">
        <f>K67*Assumptions!$D$43</f>
        <v>5.5</v>
      </c>
      <c r="L29" s="7">
        <f>L67*Assumptions!$D$43</f>
        <v>9.5</v>
      </c>
      <c r="M29" s="7">
        <f>M67*Assumptions!$D$43</f>
        <v>9.5</v>
      </c>
      <c r="N29" s="7">
        <f>N67*Assumptions!$D$43</f>
        <v>9.5</v>
      </c>
      <c r="O29" s="7">
        <f>O67*Assumptions!$D$43</f>
        <v>9.5</v>
      </c>
      <c r="P29" s="7">
        <f>P67*Assumptions!$D$43</f>
        <v>9</v>
      </c>
      <c r="Q29" s="7">
        <f>Q67*Assumptions!$D$43</f>
        <v>9</v>
      </c>
      <c r="R29" s="40">
        <f>Assumptions!$D$58</f>
        <v>9.5</v>
      </c>
      <c r="S29" s="40">
        <f>Assumptions!$D$58</f>
        <v>9.5</v>
      </c>
      <c r="T29" s="40">
        <f>Assumptions!$D$58</f>
        <v>9.5</v>
      </c>
      <c r="U29" s="40">
        <f>Assumptions!$D$58</f>
        <v>9.5</v>
      </c>
      <c r="V29" s="40">
        <f>Assumptions!$D$58</f>
        <v>9.5</v>
      </c>
      <c r="W29" s="40">
        <f>Assumptions!$D$58</f>
        <v>9.5</v>
      </c>
    </row>
    <row r="30" spans="1:23" ht="19" customHeight="1">
      <c r="A30" s="2"/>
      <c r="B30" s="2"/>
      <c r="C30" s="2" t="s">
        <v>141</v>
      </c>
      <c r="D30" s="7">
        <f>D73*Assumptions!$D$43</f>
        <v>1</v>
      </c>
      <c r="E30" s="7">
        <f>E73*Assumptions!$D$43</f>
        <v>1</v>
      </c>
      <c r="F30" s="7">
        <f>F73*Assumptions!$D$43</f>
        <v>1.5</v>
      </c>
      <c r="G30" s="7">
        <f>G73*Assumptions!$D$43</f>
        <v>1.5</v>
      </c>
      <c r="H30" s="7">
        <f>H73*Assumptions!$D$43</f>
        <v>0.5</v>
      </c>
      <c r="I30" s="7">
        <f>I73*Assumptions!$D$43</f>
        <v>0.5</v>
      </c>
      <c r="J30" s="7">
        <f>J73*Assumptions!$D$43</f>
        <v>0.5</v>
      </c>
      <c r="K30" s="7">
        <f>K73*Assumptions!$D$43</f>
        <v>0.5</v>
      </c>
      <c r="L30" s="7">
        <f>L73*Assumptions!$D$43</f>
        <v>0.5</v>
      </c>
      <c r="M30" s="7">
        <f>M73*Assumptions!$D$43</f>
        <v>0.5</v>
      </c>
      <c r="N30" s="7">
        <f>N73*Assumptions!$D$43</f>
        <v>0.5</v>
      </c>
      <c r="O30" s="7">
        <f>O73*Assumptions!$D$43</f>
        <v>0.5</v>
      </c>
      <c r="P30" s="7">
        <f>P73*Assumptions!$D$43</f>
        <v>0.5</v>
      </c>
      <c r="Q30" s="7">
        <f>Q73*Assumptions!$D$43</f>
        <v>0.5</v>
      </c>
      <c r="R30" s="40">
        <f>Assumptions!$D$59</f>
        <v>0.5</v>
      </c>
      <c r="S30" s="40">
        <f>Assumptions!$D$59</f>
        <v>0.5</v>
      </c>
      <c r="T30" s="40">
        <f>Assumptions!$D$59</f>
        <v>0.5</v>
      </c>
      <c r="U30" s="40">
        <f>Assumptions!$D$59</f>
        <v>0.5</v>
      </c>
      <c r="V30" s="40">
        <f>Assumptions!$D$59</f>
        <v>0.5</v>
      </c>
      <c r="W30" s="40">
        <f>Assumptions!$D$59</f>
        <v>0.5</v>
      </c>
    </row>
    <row r="31" spans="1:23" ht="19" customHeight="1">
      <c r="A31" s="2"/>
      <c r="B31" s="2"/>
      <c r="C31" s="41" t="s">
        <v>142</v>
      </c>
      <c r="D31" s="42">
        <f t="shared" ref="D31:W31" si="9">SUM(D27:D30)</f>
        <v>240.39404517453798</v>
      </c>
      <c r="E31" s="42">
        <f t="shared" si="9"/>
        <v>272.60595482546199</v>
      </c>
      <c r="F31" s="42">
        <f t="shared" si="9"/>
        <v>276.10657730673319</v>
      </c>
      <c r="G31" s="42">
        <f t="shared" si="9"/>
        <v>406.89342269326687</v>
      </c>
      <c r="H31" s="42">
        <f t="shared" si="9"/>
        <v>308.27126667623008</v>
      </c>
      <c r="I31" s="42">
        <f t="shared" si="9"/>
        <v>452.72873332376992</v>
      </c>
      <c r="J31" s="42">
        <f t="shared" si="9"/>
        <v>296.76227390180884</v>
      </c>
      <c r="K31" s="42">
        <f t="shared" si="9"/>
        <v>401.23772609819122</v>
      </c>
      <c r="L31" s="42">
        <f t="shared" si="9"/>
        <v>266.17023051902135</v>
      </c>
      <c r="M31" s="42">
        <f t="shared" si="9"/>
        <v>337.8297694809786</v>
      </c>
      <c r="N31" s="42">
        <f t="shared" si="9"/>
        <v>300.0838694473901</v>
      </c>
      <c r="O31" s="42">
        <f t="shared" si="9"/>
        <v>493.91613055260984</v>
      </c>
      <c r="P31" s="42">
        <f t="shared" si="9"/>
        <v>335.01578947368421</v>
      </c>
      <c r="Q31" s="42">
        <f t="shared" si="9"/>
        <v>517.98421052631579</v>
      </c>
      <c r="R31" s="43">
        <f t="shared" si="9"/>
        <v>390.87799999999993</v>
      </c>
      <c r="S31" s="43">
        <f t="shared" si="9"/>
        <v>571.06494999999984</v>
      </c>
      <c r="T31" s="43">
        <f t="shared" si="9"/>
        <v>394.37657374999981</v>
      </c>
      <c r="U31" s="43">
        <f t="shared" si="9"/>
        <v>457.41848809374989</v>
      </c>
      <c r="V31" s="43">
        <f t="shared" si="9"/>
        <v>428.19645029609353</v>
      </c>
      <c r="W31" s="43">
        <f t="shared" si="9"/>
        <v>609.31636155349599</v>
      </c>
    </row>
    <row r="32" spans="1:23" ht="19" customHeight="1">
      <c r="A32" s="2"/>
      <c r="B32" s="2"/>
      <c r="C32" s="2"/>
      <c r="D32" s="3"/>
      <c r="E32" s="3"/>
      <c r="F32" s="3"/>
      <c r="G32" s="3"/>
      <c r="H32" s="3"/>
      <c r="I32" s="3"/>
      <c r="J32" s="3"/>
      <c r="K32" s="3"/>
      <c r="L32" s="3"/>
      <c r="M32" s="3"/>
      <c r="N32" s="3"/>
      <c r="O32" s="3"/>
      <c r="P32" s="3"/>
      <c r="Q32" s="3"/>
      <c r="R32" s="39"/>
      <c r="S32" s="39"/>
      <c r="T32" s="39"/>
      <c r="U32" s="39"/>
      <c r="V32" s="39"/>
      <c r="W32" s="39"/>
    </row>
    <row r="33" spans="1:23" ht="19" customHeight="1">
      <c r="A33" s="2"/>
      <c r="B33" s="2"/>
      <c r="C33" s="11" t="s">
        <v>143</v>
      </c>
      <c r="D33" s="12"/>
      <c r="E33" s="12"/>
      <c r="F33" s="12"/>
      <c r="G33" s="12"/>
      <c r="H33" s="12"/>
      <c r="I33" s="12"/>
      <c r="J33" s="12"/>
      <c r="K33" s="12"/>
      <c r="L33" s="12"/>
      <c r="M33" s="12"/>
      <c r="N33" s="12"/>
      <c r="O33" s="12"/>
      <c r="P33" s="12"/>
      <c r="Q33" s="12"/>
      <c r="R33" s="38"/>
      <c r="S33" s="38"/>
      <c r="T33" s="38"/>
      <c r="U33" s="38"/>
      <c r="V33" s="38"/>
      <c r="W33" s="38"/>
    </row>
    <row r="34" spans="1:23" ht="19" customHeight="1">
      <c r="A34" s="2"/>
      <c r="B34" s="2"/>
      <c r="C34" s="2" t="s">
        <v>144</v>
      </c>
      <c r="D34" s="7">
        <f>-D68*Assumptions!$D$43</f>
        <v>-59</v>
      </c>
      <c r="E34" s="7">
        <f>-E68*Assumptions!$D$43</f>
        <v>-59</v>
      </c>
      <c r="F34" s="7">
        <f>-F68*Assumptions!$D$43</f>
        <v>-60.5</v>
      </c>
      <c r="G34" s="7">
        <f>-G68*Assumptions!$D$43</f>
        <v>-60.5</v>
      </c>
      <c r="H34" s="7">
        <f>-H68*Assumptions!$D$43</f>
        <v>-67</v>
      </c>
      <c r="I34" s="7">
        <f>-I68*Assumptions!$D$43</f>
        <v>-67</v>
      </c>
      <c r="J34" s="7">
        <f>-J68*Assumptions!$D$43</f>
        <v>-65</v>
      </c>
      <c r="K34" s="7">
        <f>-K68*Assumptions!$D$43</f>
        <v>-65</v>
      </c>
      <c r="L34" s="7">
        <f>-L68*Assumptions!$D$43</f>
        <v>-70.5</v>
      </c>
      <c r="M34" s="7">
        <f>-M68*Assumptions!$D$43</f>
        <v>-70.5</v>
      </c>
      <c r="N34" s="7">
        <f>-N68*Assumptions!$D$43</f>
        <v>-66.5</v>
      </c>
      <c r="O34" s="7">
        <f>-O68*Assumptions!$D$43</f>
        <v>-66.5</v>
      </c>
      <c r="P34" s="7">
        <f>-P68*Assumptions!$D$43</f>
        <v>-71.5</v>
      </c>
      <c r="Q34" s="7">
        <f>-Q68*Assumptions!$D$43</f>
        <v>-71.5</v>
      </c>
      <c r="R34" s="40">
        <f>-Assumptions!$D$54</f>
        <v>-68.5</v>
      </c>
      <c r="S34" s="40">
        <f>-Assumptions!$D$54</f>
        <v>-68.5</v>
      </c>
      <c r="T34" s="40">
        <f>-Assumptions!$D$54</f>
        <v>-68.5</v>
      </c>
      <c r="U34" s="40">
        <f>-Assumptions!$D$54</f>
        <v>-68.5</v>
      </c>
      <c r="V34" s="40">
        <f>-Assumptions!$D$54</f>
        <v>-68.5</v>
      </c>
      <c r="W34" s="40">
        <f>-Assumptions!$D$54</f>
        <v>-68.5</v>
      </c>
    </row>
    <row r="35" spans="1:23" ht="19" customHeight="1">
      <c r="A35" s="2"/>
      <c r="B35" s="2"/>
      <c r="C35" s="2" t="s">
        <v>145</v>
      </c>
      <c r="D35" s="3">
        <f t="shared" ref="D35:Q35" si="10">-(D69-D68)*D63</f>
        <v>-47.802874743326491</v>
      </c>
      <c r="E35" s="3">
        <f t="shared" si="10"/>
        <v>-49.197125256673516</v>
      </c>
      <c r="F35" s="3">
        <f t="shared" si="10"/>
        <v>-50.231764339152122</v>
      </c>
      <c r="G35" s="3">
        <f t="shared" si="10"/>
        <v>-52.768235660847878</v>
      </c>
      <c r="H35" s="3">
        <f t="shared" si="10"/>
        <v>-57.602065700760292</v>
      </c>
      <c r="I35" s="3">
        <f t="shared" si="10"/>
        <v>-59.397934299239715</v>
      </c>
      <c r="J35" s="3">
        <f t="shared" si="10"/>
        <v>-55.251076658053407</v>
      </c>
      <c r="K35" s="3">
        <f t="shared" si="10"/>
        <v>-53.7489233419466</v>
      </c>
      <c r="L35" s="3">
        <f t="shared" si="10"/>
        <v>-47.288360910762265</v>
      </c>
      <c r="M35" s="3">
        <f t="shared" si="10"/>
        <v>-50.711639089237721</v>
      </c>
      <c r="N35" s="3">
        <f t="shared" si="10"/>
        <v>-52.297396017438437</v>
      </c>
      <c r="O35" s="3">
        <f t="shared" si="10"/>
        <v>-56.702603982561563</v>
      </c>
      <c r="P35" s="3">
        <f t="shared" si="10"/>
        <v>-67.57479224376732</v>
      </c>
      <c r="Q35" s="3">
        <f t="shared" si="10"/>
        <v>-71.42520775623268</v>
      </c>
      <c r="R35" s="40">
        <f>-R27*Assumptions!$D$51</f>
        <v>-69.091871866295264</v>
      </c>
      <c r="S35" s="40">
        <f>-S27*Assumptions!$D$51</f>
        <v>-70.81916866295262</v>
      </c>
      <c r="T35" s="40">
        <f>-T27*Assumptions!$D$51</f>
        <v>-72.589647879526439</v>
      </c>
      <c r="U35" s="40">
        <f>-U27*Assumptions!$D$51</f>
        <v>-74.404389076514605</v>
      </c>
      <c r="V35" s="40">
        <f>-V27*Assumptions!$D$51</f>
        <v>-76.264498803427458</v>
      </c>
      <c r="W35" s="40">
        <f>-W27*Assumptions!$D$51</f>
        <v>-78.171111273513162</v>
      </c>
    </row>
    <row r="36" spans="1:23" ht="19" customHeight="1">
      <c r="A36" s="2"/>
      <c r="B36" s="2"/>
      <c r="C36" s="2" t="s">
        <v>146</v>
      </c>
      <c r="D36" s="3">
        <f t="shared" ref="D36:Q36" si="11">-D70*D28/SUM(D66:D67)</f>
        <v>-2.6352941176470588</v>
      </c>
      <c r="E36" s="3">
        <f t="shared" si="11"/>
        <v>-23.71764705882353</v>
      </c>
      <c r="F36" s="3">
        <f t="shared" si="11"/>
        <v>-9.5322033898305083</v>
      </c>
      <c r="G36" s="3">
        <f t="shared" si="11"/>
        <v>-85.78983050847458</v>
      </c>
      <c r="H36" s="3">
        <f t="shared" si="11"/>
        <v>-8.7033492822966512</v>
      </c>
      <c r="I36" s="3">
        <f t="shared" si="11"/>
        <v>-78.330143540669852</v>
      </c>
      <c r="J36" s="3">
        <f t="shared" si="11"/>
        <v>-8.0662251655629138</v>
      </c>
      <c r="K36" s="3">
        <f t="shared" si="11"/>
        <v>-72.596026490066222</v>
      </c>
      <c r="L36" s="3">
        <f t="shared" si="11"/>
        <v>-4.9081395348837216</v>
      </c>
      <c r="M36" s="3">
        <f t="shared" si="11"/>
        <v>-44.173255813953489</v>
      </c>
      <c r="N36" s="3">
        <f t="shared" si="11"/>
        <v>-12.03175965665236</v>
      </c>
      <c r="O36" s="3">
        <f t="shared" si="11"/>
        <v>-108.28583690987124</v>
      </c>
      <c r="P36" s="3">
        <f t="shared" si="11"/>
        <v>-10.028</v>
      </c>
      <c r="Q36" s="3">
        <f t="shared" si="11"/>
        <v>-90.25200000000001</v>
      </c>
      <c r="R36" s="40">
        <f>-R28*Assumptions!$D$52</f>
        <v>-13.014420062695924</v>
      </c>
      <c r="S36" s="40">
        <f>-S28*Assumptions!$D$52</f>
        <v>-117.12978056426331</v>
      </c>
      <c r="T36" s="40">
        <f>-T28*Assumptions!$D$52</f>
        <v>-4.074608150470219</v>
      </c>
      <c r="U36" s="40">
        <f>-U28*Assumptions!$D$52</f>
        <v>-36.671473354231978</v>
      </c>
      <c r="V36" s="40">
        <f>-V28*Assumptions!$D$52</f>
        <v>-13.014420062695924</v>
      </c>
      <c r="W36" s="40">
        <f>-W28*Assumptions!$D$52</f>
        <v>-117.12978056426331</v>
      </c>
    </row>
    <row r="37" spans="1:23" ht="19" customHeight="1">
      <c r="A37" s="2"/>
      <c r="B37" s="2"/>
      <c r="C37" s="2" t="s">
        <v>147</v>
      </c>
      <c r="D37" s="3">
        <f t="shared" ref="D37:Q37" si="12">-D70*D29/SUM(D66:D67)</f>
        <v>-7.8235294117647056</v>
      </c>
      <c r="E37" s="3">
        <f t="shared" si="12"/>
        <v>-7.8235294117647056</v>
      </c>
      <c r="F37" s="3">
        <f t="shared" si="12"/>
        <v>-9.3389830508474585</v>
      </c>
      <c r="G37" s="3">
        <f t="shared" si="12"/>
        <v>-9.3389830508474585</v>
      </c>
      <c r="H37" s="3">
        <f t="shared" si="12"/>
        <v>-9.9832535885167459</v>
      </c>
      <c r="I37" s="3">
        <f t="shared" si="12"/>
        <v>-9.9832535885167459</v>
      </c>
      <c r="J37" s="3">
        <f t="shared" si="12"/>
        <v>-3.1688741721854305</v>
      </c>
      <c r="K37" s="3">
        <f t="shared" si="12"/>
        <v>-3.1688741721854305</v>
      </c>
      <c r="L37" s="3">
        <f t="shared" si="12"/>
        <v>-6.9593023255813957</v>
      </c>
      <c r="M37" s="3">
        <f t="shared" si="12"/>
        <v>-6.9593023255813957</v>
      </c>
      <c r="N37" s="3">
        <f t="shared" si="12"/>
        <v>-5.3412017167381975</v>
      </c>
      <c r="O37" s="3">
        <f t="shared" si="12"/>
        <v>-5.3412017167381975</v>
      </c>
      <c r="P37" s="3">
        <f t="shared" si="12"/>
        <v>-4.3600000000000003</v>
      </c>
      <c r="Q37" s="3">
        <f t="shared" si="12"/>
        <v>-4.3600000000000003</v>
      </c>
      <c r="R37" s="40">
        <f>-R29*Assumptions!$D$52</f>
        <v>-5.7774294670846391</v>
      </c>
      <c r="S37" s="40">
        <f>-S29*Assumptions!$D$52</f>
        <v>-5.7774294670846391</v>
      </c>
      <c r="T37" s="40">
        <f>-T29*Assumptions!$D$52</f>
        <v>-5.7774294670846391</v>
      </c>
      <c r="U37" s="40">
        <f>-U29*Assumptions!$D$52</f>
        <v>-5.7774294670846391</v>
      </c>
      <c r="V37" s="40">
        <f>-V29*Assumptions!$D$52</f>
        <v>-5.7774294670846391</v>
      </c>
      <c r="W37" s="40">
        <f>-W29*Assumptions!$D$52</f>
        <v>-5.7774294670846391</v>
      </c>
    </row>
    <row r="38" spans="1:23" ht="19" customHeight="1">
      <c r="A38" s="2"/>
      <c r="B38" s="2"/>
      <c r="C38" s="41" t="s">
        <v>148</v>
      </c>
      <c r="D38" s="42">
        <f t="shared" ref="D38:W38" si="13">SUM(D34:D37)</f>
        <v>-117.26169827273827</v>
      </c>
      <c r="E38" s="42">
        <f t="shared" si="13"/>
        <v>-139.73830172726173</v>
      </c>
      <c r="F38" s="42">
        <f t="shared" si="13"/>
        <v>-129.60295077983008</v>
      </c>
      <c r="G38" s="42">
        <f t="shared" si="13"/>
        <v>-208.39704922016989</v>
      </c>
      <c r="H38" s="42">
        <f t="shared" si="13"/>
        <v>-143.28866857157368</v>
      </c>
      <c r="I38" s="42">
        <f t="shared" si="13"/>
        <v>-214.71133142842632</v>
      </c>
      <c r="J38" s="42">
        <f t="shared" si="13"/>
        <v>-131.48617599580177</v>
      </c>
      <c r="K38" s="42">
        <f t="shared" si="13"/>
        <v>-194.51382400419828</v>
      </c>
      <c r="L38" s="42">
        <f t="shared" si="13"/>
        <v>-129.65580277122737</v>
      </c>
      <c r="M38" s="42">
        <f t="shared" si="13"/>
        <v>-172.3441972287726</v>
      </c>
      <c r="N38" s="42">
        <f t="shared" si="13"/>
        <v>-136.170357390829</v>
      </c>
      <c r="O38" s="42">
        <f t="shared" si="13"/>
        <v>-236.82964260917097</v>
      </c>
      <c r="P38" s="42">
        <f t="shared" si="13"/>
        <v>-153.46279224376732</v>
      </c>
      <c r="Q38" s="42">
        <f t="shared" si="13"/>
        <v>-237.5372077562327</v>
      </c>
      <c r="R38" s="43">
        <f t="shared" si="13"/>
        <v>-156.38372139607583</v>
      </c>
      <c r="S38" s="43">
        <f t="shared" si="13"/>
        <v>-262.22637869430059</v>
      </c>
      <c r="T38" s="43">
        <f t="shared" si="13"/>
        <v>-150.94168549708129</v>
      </c>
      <c r="U38" s="43">
        <f t="shared" si="13"/>
        <v>-185.35329189783121</v>
      </c>
      <c r="V38" s="43">
        <f t="shared" si="13"/>
        <v>-163.55634833320801</v>
      </c>
      <c r="W38" s="43">
        <f t="shared" si="13"/>
        <v>-269.57832130486111</v>
      </c>
    </row>
    <row r="39" spans="1:23" ht="19" customHeight="1">
      <c r="A39" s="2"/>
      <c r="B39" s="2"/>
      <c r="C39" s="2" t="s">
        <v>149</v>
      </c>
      <c r="D39" s="3">
        <f t="shared" ref="D39:Q39" si="14">-D72*D63</f>
        <v>-13.305954825462013</v>
      </c>
      <c r="E39" s="3">
        <f t="shared" si="14"/>
        <v>-13.694045174537989</v>
      </c>
      <c r="F39" s="3">
        <f t="shared" si="14"/>
        <v>-15.118298004987533</v>
      </c>
      <c r="G39" s="3">
        <f t="shared" si="14"/>
        <v>-15.881701995012468</v>
      </c>
      <c r="H39" s="3">
        <f t="shared" si="14"/>
        <v>-16.246736479701621</v>
      </c>
      <c r="I39" s="3">
        <f t="shared" si="14"/>
        <v>-16.753263520298383</v>
      </c>
      <c r="J39" s="3">
        <f t="shared" si="14"/>
        <v>-17.234280792420329</v>
      </c>
      <c r="K39" s="3">
        <f t="shared" si="14"/>
        <v>-16.765719207579671</v>
      </c>
      <c r="L39" s="3">
        <f t="shared" si="14"/>
        <v>-16.888700325272239</v>
      </c>
      <c r="M39" s="3">
        <f t="shared" si="14"/>
        <v>-18.111299674727757</v>
      </c>
      <c r="N39" s="3">
        <f t="shared" si="14"/>
        <v>-18.232119712501472</v>
      </c>
      <c r="O39" s="3">
        <f t="shared" si="14"/>
        <v>-19.767880287498528</v>
      </c>
      <c r="P39" s="3">
        <f t="shared" si="14"/>
        <v>-18.95983379501385</v>
      </c>
      <c r="Q39" s="3">
        <f t="shared" si="14"/>
        <v>-20.04016620498615</v>
      </c>
      <c r="R39" s="40">
        <f>-R18*Assumptions!$D$49*Assumptions!$D$53/Assumptions!$D$60*Assumptions!$D$48</f>
        <v>-24.095912070960271</v>
      </c>
      <c r="S39" s="40">
        <f>-S18*Assumptions!$D$49*Assumptions!$D$53/Assumptions!$D$60*Assumptions!$D$48</f>
        <v>-24.698309872734271</v>
      </c>
      <c r="T39" s="40">
        <f>-T18*Assumptions!$D$49*Assumptions!$D$53/Assumptions!$D$60*Assumptions!$D$48</f>
        <v>-25.315767619552631</v>
      </c>
      <c r="U39" s="40">
        <f>-U18*Assumptions!$D$49*Assumptions!$D$53/Assumptions!$D$60*Assumptions!$D$48</f>
        <v>-25.948661810041447</v>
      </c>
      <c r="V39" s="40">
        <f>-V18*Assumptions!$D$49*Assumptions!$D$53/Assumptions!$D$60*Assumptions!$D$48</f>
        <v>-26.597378355292481</v>
      </c>
      <c r="W39" s="40">
        <f>-W18*Assumptions!$D$49*Assumptions!$D$53/Assumptions!$D$60*Assumptions!$D$48</f>
        <v>-27.262312814174795</v>
      </c>
    </row>
    <row r="40" spans="1:23" ht="19" customHeight="1">
      <c r="A40" s="2"/>
      <c r="B40" s="2"/>
      <c r="C40" s="2" t="s">
        <v>150</v>
      </c>
      <c r="D40" s="7">
        <f>-D71*Assumptions!$D$43</f>
        <v>-43</v>
      </c>
      <c r="E40" s="7">
        <f>-E71*Assumptions!$D$43</f>
        <v>-43</v>
      </c>
      <c r="F40" s="7">
        <f>-F71*Assumptions!$D$43</f>
        <v>-46.5</v>
      </c>
      <c r="G40" s="7">
        <f>-G71*Assumptions!$D$43</f>
        <v>-46.5</v>
      </c>
      <c r="H40" s="7">
        <f>-H71*Assumptions!$D$43</f>
        <v>-46.5</v>
      </c>
      <c r="I40" s="7">
        <f>-I71*Assumptions!$D$43</f>
        <v>-46.5</v>
      </c>
      <c r="J40" s="7">
        <f>-J71*Assumptions!$D$43</f>
        <v>-53</v>
      </c>
      <c r="K40" s="7">
        <f>-K71*Assumptions!$D$43</f>
        <v>-53</v>
      </c>
      <c r="L40" s="7">
        <f>-L71*Assumptions!$D$43</f>
        <v>-55</v>
      </c>
      <c r="M40" s="7">
        <f>-M71*Assumptions!$D$43</f>
        <v>-55</v>
      </c>
      <c r="N40" s="7">
        <f>-N71*Assumptions!$D$43</f>
        <v>-52.5</v>
      </c>
      <c r="O40" s="7">
        <f>-O71*Assumptions!$D$43</f>
        <v>-52.5</v>
      </c>
      <c r="P40" s="7">
        <f>-P71*Assumptions!$D$43</f>
        <v>-56.5</v>
      </c>
      <c r="Q40" s="7">
        <f>-Q71*Assumptions!$D$43</f>
        <v>-56.5</v>
      </c>
      <c r="R40" s="40">
        <f>-Assumptions!$D$55</f>
        <v>-53.75</v>
      </c>
      <c r="S40" s="40">
        <f>-Assumptions!$D$55</f>
        <v>-53.75</v>
      </c>
      <c r="T40" s="40">
        <f>-Assumptions!$D$55</f>
        <v>-53.75</v>
      </c>
      <c r="U40" s="40">
        <f>-Assumptions!$D$55</f>
        <v>-53.75</v>
      </c>
      <c r="V40" s="40">
        <f>-Assumptions!$D$55</f>
        <v>-53.75</v>
      </c>
      <c r="W40" s="40">
        <f>-Assumptions!$D$55</f>
        <v>-53.75</v>
      </c>
    </row>
    <row r="41" spans="1:23" ht="19" customHeight="1">
      <c r="A41" s="2"/>
      <c r="B41" s="2"/>
      <c r="C41" s="2" t="s">
        <v>151</v>
      </c>
      <c r="D41" s="7">
        <f>-D74*Assumptions!$D$43</f>
        <v>0</v>
      </c>
      <c r="E41" s="7">
        <f>-E74*Assumptions!$D$43</f>
        <v>0</v>
      </c>
      <c r="F41" s="7">
        <f>-F74*Assumptions!$D$43</f>
        <v>-1</v>
      </c>
      <c r="G41" s="7">
        <f>-G74*Assumptions!$D$43</f>
        <v>-1</v>
      </c>
      <c r="H41" s="7">
        <f>-H74*Assumptions!$D$43</f>
        <v>-1.5</v>
      </c>
      <c r="I41" s="7">
        <f>-I74*Assumptions!$D$43</f>
        <v>-1.5</v>
      </c>
      <c r="J41" s="7">
        <f>-J74*Assumptions!$D$43</f>
        <v>-3.5</v>
      </c>
      <c r="K41" s="7">
        <f>-K74*Assumptions!$D$43</f>
        <v>-3.5</v>
      </c>
      <c r="L41" s="7">
        <f>-L74*Assumptions!$D$43</f>
        <v>-1</v>
      </c>
      <c r="M41" s="7">
        <f>-M74*Assumptions!$D$43</f>
        <v>-1</v>
      </c>
      <c r="N41" s="7">
        <f>-N74*Assumptions!$D$43</f>
        <v>-2.5</v>
      </c>
      <c r="O41" s="7">
        <f>-O74*Assumptions!$D$43</f>
        <v>-2.5</v>
      </c>
      <c r="P41" s="7">
        <f>-P74*Assumptions!$D$43</f>
        <v>-1.5</v>
      </c>
      <c r="Q41" s="7">
        <f>-Q74*Assumptions!$D$43</f>
        <v>-1.5</v>
      </c>
      <c r="R41" s="40">
        <f>-Assumptions!$D$62</f>
        <v>-1.75</v>
      </c>
      <c r="S41" s="40">
        <f>-Assumptions!$D$62</f>
        <v>-1.75</v>
      </c>
      <c r="T41" s="40">
        <f>-Assumptions!$D$62</f>
        <v>-1.75</v>
      </c>
      <c r="U41" s="40">
        <f>-Assumptions!$D$62</f>
        <v>-1.75</v>
      </c>
      <c r="V41" s="40">
        <f>-Assumptions!$D$62</f>
        <v>-1.75</v>
      </c>
      <c r="W41" s="40">
        <f>-Assumptions!$D$62</f>
        <v>-1.75</v>
      </c>
    </row>
    <row r="42" spans="1:23" ht="19" customHeight="1">
      <c r="A42" s="2"/>
      <c r="B42" s="2"/>
      <c r="C42" s="41" t="s">
        <v>152</v>
      </c>
      <c r="D42" s="42">
        <f t="shared" ref="D42:W42" si="15">SUM(D38:D41)</f>
        <v>-173.56765309820028</v>
      </c>
      <c r="E42" s="42">
        <f t="shared" si="15"/>
        <v>-196.43234690179972</v>
      </c>
      <c r="F42" s="42">
        <f t="shared" si="15"/>
        <v>-192.22124878481762</v>
      </c>
      <c r="G42" s="42">
        <f t="shared" si="15"/>
        <v>-271.77875121518235</v>
      </c>
      <c r="H42" s="42">
        <f t="shared" si="15"/>
        <v>-207.53540505127529</v>
      </c>
      <c r="I42" s="42">
        <f t="shared" si="15"/>
        <v>-279.46459494872471</v>
      </c>
      <c r="J42" s="42">
        <f t="shared" si="15"/>
        <v>-205.22045678822209</v>
      </c>
      <c r="K42" s="42">
        <f t="shared" si="15"/>
        <v>-267.77954321177799</v>
      </c>
      <c r="L42" s="42">
        <f t="shared" si="15"/>
        <v>-202.54450309649962</v>
      </c>
      <c r="M42" s="42">
        <f t="shared" si="15"/>
        <v>-246.45549690350035</v>
      </c>
      <c r="N42" s="42">
        <f t="shared" si="15"/>
        <v>-209.40247710333045</v>
      </c>
      <c r="O42" s="42">
        <f t="shared" si="15"/>
        <v>-311.59752289666949</v>
      </c>
      <c r="P42" s="42">
        <f t="shared" si="15"/>
        <v>-230.42262603878117</v>
      </c>
      <c r="Q42" s="42">
        <f t="shared" si="15"/>
        <v>-315.57737396121888</v>
      </c>
      <c r="R42" s="43">
        <f t="shared" si="15"/>
        <v>-235.97963346703611</v>
      </c>
      <c r="S42" s="43">
        <f t="shared" si="15"/>
        <v>-342.42468856703488</v>
      </c>
      <c r="T42" s="43">
        <f t="shared" si="15"/>
        <v>-231.75745311663394</v>
      </c>
      <c r="U42" s="43">
        <f t="shared" si="15"/>
        <v>-266.80195370787266</v>
      </c>
      <c r="V42" s="43">
        <f t="shared" si="15"/>
        <v>-245.65372668850048</v>
      </c>
      <c r="W42" s="43">
        <f t="shared" si="15"/>
        <v>-352.34063411903588</v>
      </c>
    </row>
    <row r="43" spans="1:23" ht="19" customHeight="1">
      <c r="A43" s="2"/>
      <c r="B43" s="2"/>
      <c r="C43" s="2" t="s">
        <v>153</v>
      </c>
      <c r="D43" s="3">
        <f t="shared" ref="D43:W43" si="16">SUM(D27:D28,D30,D42)</f>
        <v>57.326392076337697</v>
      </c>
      <c r="E43" s="3">
        <f t="shared" si="16"/>
        <v>66.673607923662274</v>
      </c>
      <c r="F43" s="3">
        <f t="shared" si="16"/>
        <v>69.385328521915568</v>
      </c>
      <c r="G43" s="3">
        <f t="shared" si="16"/>
        <v>120.61467147808452</v>
      </c>
      <c r="H43" s="3">
        <f t="shared" si="16"/>
        <v>81.235861624954794</v>
      </c>
      <c r="I43" s="3">
        <f t="shared" si="16"/>
        <v>153.76413837504521</v>
      </c>
      <c r="J43" s="3">
        <f t="shared" si="16"/>
        <v>86.041817113586745</v>
      </c>
      <c r="K43" s="3">
        <f t="shared" si="16"/>
        <v>127.95818288641323</v>
      </c>
      <c r="L43" s="3">
        <f t="shared" si="16"/>
        <v>54.12572742252172</v>
      </c>
      <c r="M43" s="3">
        <f t="shared" si="16"/>
        <v>81.874272577478251</v>
      </c>
      <c r="N43" s="3">
        <f t="shared" si="16"/>
        <v>81.181392344059645</v>
      </c>
      <c r="O43" s="3">
        <f t="shared" si="16"/>
        <v>172.81860765594035</v>
      </c>
      <c r="P43" s="3">
        <f t="shared" si="16"/>
        <v>95.593163434903033</v>
      </c>
      <c r="Q43" s="3">
        <f t="shared" si="16"/>
        <v>193.40683656509691</v>
      </c>
      <c r="R43" s="39">
        <f t="shared" si="16"/>
        <v>145.39836653296382</v>
      </c>
      <c r="S43" s="39">
        <f t="shared" si="16"/>
        <v>219.14026143296496</v>
      </c>
      <c r="T43" s="39">
        <f t="shared" si="16"/>
        <v>153.11912063336587</v>
      </c>
      <c r="U43" s="39">
        <f t="shared" si="16"/>
        <v>181.11653438587723</v>
      </c>
      <c r="V43" s="39">
        <f t="shared" si="16"/>
        <v>173.04272360759305</v>
      </c>
      <c r="W43" s="39">
        <f t="shared" si="16"/>
        <v>247.47572743446011</v>
      </c>
    </row>
    <row r="44" spans="1:23" ht="19" customHeight="1">
      <c r="A44" s="2"/>
      <c r="B44" s="2"/>
      <c r="C44" s="41" t="s">
        <v>154</v>
      </c>
      <c r="D44" s="42">
        <f t="shared" ref="D44:W44" si="17">SUM(D31,D42)</f>
        <v>66.826392076337697</v>
      </c>
      <c r="E44" s="42">
        <f t="shared" si="17"/>
        <v>76.173607923662274</v>
      </c>
      <c r="F44" s="42">
        <f t="shared" si="17"/>
        <v>83.885328521915568</v>
      </c>
      <c r="G44" s="42">
        <f t="shared" si="17"/>
        <v>135.11467147808452</v>
      </c>
      <c r="H44" s="42">
        <f t="shared" si="17"/>
        <v>100.73586162495479</v>
      </c>
      <c r="I44" s="42">
        <f t="shared" si="17"/>
        <v>173.26413837504521</v>
      </c>
      <c r="J44" s="42">
        <f t="shared" si="17"/>
        <v>91.541817113586745</v>
      </c>
      <c r="K44" s="42">
        <f t="shared" si="17"/>
        <v>133.45818288641323</v>
      </c>
      <c r="L44" s="42">
        <f t="shared" si="17"/>
        <v>63.62572742252172</v>
      </c>
      <c r="M44" s="42">
        <f t="shared" si="17"/>
        <v>91.374272577478251</v>
      </c>
      <c r="N44" s="42">
        <f t="shared" si="17"/>
        <v>90.681392344059645</v>
      </c>
      <c r="O44" s="42">
        <f t="shared" si="17"/>
        <v>182.31860765594035</v>
      </c>
      <c r="P44" s="42">
        <f t="shared" si="17"/>
        <v>104.59316343490303</v>
      </c>
      <c r="Q44" s="42">
        <f t="shared" si="17"/>
        <v>202.40683656509691</v>
      </c>
      <c r="R44" s="43">
        <f t="shared" si="17"/>
        <v>154.89836653296382</v>
      </c>
      <c r="S44" s="43">
        <f t="shared" si="17"/>
        <v>228.64026143296496</v>
      </c>
      <c r="T44" s="43">
        <f t="shared" si="17"/>
        <v>162.61912063336587</v>
      </c>
      <c r="U44" s="43">
        <f t="shared" si="17"/>
        <v>190.61653438587723</v>
      </c>
      <c r="V44" s="43">
        <f t="shared" si="17"/>
        <v>182.54272360759305</v>
      </c>
      <c r="W44" s="43">
        <f t="shared" si="17"/>
        <v>256.97572743446011</v>
      </c>
    </row>
    <row r="45" spans="1:23" ht="19" customHeight="1">
      <c r="A45" s="2"/>
      <c r="B45" s="2"/>
      <c r="C45" s="2"/>
      <c r="D45" s="3"/>
      <c r="E45" s="3"/>
      <c r="F45" s="3"/>
      <c r="G45" s="3"/>
      <c r="H45" s="3"/>
      <c r="I45" s="3"/>
      <c r="J45" s="3"/>
      <c r="K45" s="3"/>
      <c r="L45" s="3"/>
      <c r="M45" s="3"/>
      <c r="N45" s="3"/>
      <c r="O45" s="3"/>
      <c r="P45" s="3"/>
      <c r="Q45" s="3"/>
      <c r="R45" s="39"/>
      <c r="S45" s="39"/>
      <c r="T45" s="39"/>
      <c r="U45" s="39"/>
      <c r="V45" s="39"/>
      <c r="W45" s="39"/>
    </row>
    <row r="46" spans="1:23" ht="19" customHeight="1">
      <c r="A46" s="2"/>
      <c r="B46" s="2"/>
      <c r="C46" s="11" t="s">
        <v>155</v>
      </c>
      <c r="D46" s="12"/>
      <c r="E46" s="12"/>
      <c r="F46" s="12"/>
      <c r="G46" s="12"/>
      <c r="H46" s="12"/>
      <c r="I46" s="12"/>
      <c r="J46" s="12"/>
      <c r="K46" s="12"/>
      <c r="L46" s="12"/>
      <c r="M46" s="12"/>
      <c r="N46" s="12"/>
      <c r="O46" s="12"/>
      <c r="P46" s="12"/>
      <c r="Q46" s="12"/>
      <c r="R46" s="38"/>
      <c r="S46" s="38"/>
      <c r="T46" s="38"/>
      <c r="U46" s="38"/>
      <c r="V46" s="38"/>
      <c r="W46" s="38"/>
    </row>
    <row r="47" spans="1:23" ht="19" customHeight="1">
      <c r="A47" s="2"/>
      <c r="B47" s="2"/>
      <c r="C47" s="2" t="s">
        <v>156</v>
      </c>
      <c r="D47" s="7">
        <f>-D75*Assumptions!$D$43</f>
        <v>-0.5</v>
      </c>
      <c r="E47" s="7">
        <f>-E75*Assumptions!$D$43</f>
        <v>-0.5</v>
      </c>
      <c r="F47" s="7">
        <f>-F75*Assumptions!$D$43</f>
        <v>-4</v>
      </c>
      <c r="G47" s="7">
        <f>-G75*Assumptions!$D$43</f>
        <v>-4</v>
      </c>
      <c r="H47" s="7">
        <f>-H75*Assumptions!$D$43</f>
        <v>-4</v>
      </c>
      <c r="I47" s="7">
        <f>-I75*Assumptions!$D$43</f>
        <v>-4</v>
      </c>
      <c r="J47" s="7">
        <f>-J75*Assumptions!$D$43</f>
        <v>0</v>
      </c>
      <c r="K47" s="7">
        <f>-K75*Assumptions!$D$43</f>
        <v>0</v>
      </c>
      <c r="L47" s="7">
        <f>-L75*Assumptions!$D$43</f>
        <v>-0.5</v>
      </c>
      <c r="M47" s="7">
        <f>-M75*Assumptions!$D$43</f>
        <v>-0.5</v>
      </c>
      <c r="N47" s="7">
        <f>-N75*Assumptions!$D$43</f>
        <v>-3</v>
      </c>
      <c r="O47" s="7">
        <f>-O75*Assumptions!$D$43</f>
        <v>-3</v>
      </c>
      <c r="P47" s="7">
        <f>-P75*Assumptions!$D$43</f>
        <v>-2</v>
      </c>
      <c r="Q47" s="7">
        <f>-Q75*Assumptions!$D$43</f>
        <v>-2</v>
      </c>
      <c r="R47" s="40">
        <f>-Assumptions!$D$63</f>
        <v>-1.75</v>
      </c>
      <c r="S47" s="40">
        <f>-Assumptions!$D$63</f>
        <v>-1.75</v>
      </c>
      <c r="T47" s="40">
        <f>-Assumptions!$D$63</f>
        <v>-1.75</v>
      </c>
      <c r="U47" s="40">
        <f>-Assumptions!$D$63</f>
        <v>-1.75</v>
      </c>
      <c r="V47" s="40">
        <f>-Assumptions!$D$63</f>
        <v>-1.75</v>
      </c>
      <c r="W47" s="40">
        <f>-Assumptions!$D$63</f>
        <v>-1.75</v>
      </c>
    </row>
    <row r="48" spans="1:23" ht="19" customHeight="1">
      <c r="A48" s="2"/>
      <c r="B48" s="2"/>
      <c r="C48" s="2" t="s">
        <v>157</v>
      </c>
      <c r="D48" s="7">
        <f>-D76*Assumptions!$D$43</f>
        <v>-2.5</v>
      </c>
      <c r="E48" s="7">
        <f>-E76*Assumptions!$D$43</f>
        <v>-2.5</v>
      </c>
      <c r="F48" s="7">
        <f>-F76*Assumptions!$D$43</f>
        <v>-3.5</v>
      </c>
      <c r="G48" s="7">
        <f>-G76*Assumptions!$D$43</f>
        <v>-3.5</v>
      </c>
      <c r="H48" s="7">
        <f>-H76*Assumptions!$D$43</f>
        <v>-3.5</v>
      </c>
      <c r="I48" s="7">
        <f>-I76*Assumptions!$D$43</f>
        <v>-3.5</v>
      </c>
      <c r="J48" s="7">
        <f>-J76*Assumptions!$D$43</f>
        <v>-4</v>
      </c>
      <c r="K48" s="7">
        <f>-K76*Assumptions!$D$43</f>
        <v>-4</v>
      </c>
      <c r="L48" s="7">
        <f>-L76*Assumptions!$D$43</f>
        <v>-3.5</v>
      </c>
      <c r="M48" s="7">
        <f>-M76*Assumptions!$D$43</f>
        <v>-3.5</v>
      </c>
      <c r="N48" s="7">
        <f>-N76*Assumptions!$D$43</f>
        <v>-2</v>
      </c>
      <c r="O48" s="7">
        <f>-O76*Assumptions!$D$43</f>
        <v>-2</v>
      </c>
      <c r="P48" s="7">
        <f>-P76*Assumptions!$D$43</f>
        <v>-2.5</v>
      </c>
      <c r="Q48" s="7">
        <f>-Q76*Assumptions!$D$43</f>
        <v>-2.5</v>
      </c>
      <c r="R48" s="40">
        <f>-Assumptions!$D$64</f>
        <v>-2.75</v>
      </c>
      <c r="S48" s="40">
        <f>-Assumptions!$D$64</f>
        <v>-2.75</v>
      </c>
      <c r="T48" s="40">
        <f>-Assumptions!$D$64</f>
        <v>-2.75</v>
      </c>
      <c r="U48" s="40">
        <f>-Assumptions!$D$64</f>
        <v>-2.75</v>
      </c>
      <c r="V48" s="40">
        <f>-Assumptions!$D$64</f>
        <v>-2.75</v>
      </c>
      <c r="W48" s="40">
        <f>-Assumptions!$D$64</f>
        <v>-2.75</v>
      </c>
    </row>
    <row r="49" spans="1:23" ht="19" customHeight="1">
      <c r="A49" s="2"/>
      <c r="B49" s="2"/>
      <c r="C49" s="2" t="s">
        <v>158</v>
      </c>
      <c r="D49" s="7">
        <f>-D77*Assumptions!$D$43</f>
        <v>0</v>
      </c>
      <c r="E49" s="7">
        <f>-E77*Assumptions!$D$43</f>
        <v>0</v>
      </c>
      <c r="F49" s="7">
        <f>-F77*Assumptions!$D$43</f>
        <v>-0.5</v>
      </c>
      <c r="G49" s="7">
        <f>-G77*Assumptions!$D$43</f>
        <v>-0.5</v>
      </c>
      <c r="H49" s="7">
        <f>-H77*Assumptions!$D$43</f>
        <v>-0.5</v>
      </c>
      <c r="I49" s="7">
        <f>-I77*Assumptions!$D$43</f>
        <v>-0.5</v>
      </c>
      <c r="J49" s="7">
        <f>-J77*Assumptions!$D$43</f>
        <v>-0.5</v>
      </c>
      <c r="K49" s="7">
        <f>-K77*Assumptions!$D$43</f>
        <v>-0.5</v>
      </c>
      <c r="L49" s="7">
        <f>-L77*Assumptions!$D$43</f>
        <v>-0.5</v>
      </c>
      <c r="M49" s="7">
        <f>-M77*Assumptions!$D$43</f>
        <v>-0.5</v>
      </c>
      <c r="N49" s="7">
        <f>-N77*Assumptions!$D$43</f>
        <v>-0.5</v>
      </c>
      <c r="O49" s="7">
        <f>-O77*Assumptions!$D$43</f>
        <v>-0.5</v>
      </c>
      <c r="P49" s="7">
        <f>-P77*Assumptions!$D$43</f>
        <v>-0.5</v>
      </c>
      <c r="Q49" s="7">
        <f>-Q77*Assumptions!$D$43</f>
        <v>-0.5</v>
      </c>
      <c r="R49" s="40">
        <f>-Assumptions!$D$65</f>
        <v>-0.5</v>
      </c>
      <c r="S49" s="40">
        <f>-Assumptions!$D$65</f>
        <v>-0.5</v>
      </c>
      <c r="T49" s="40">
        <f>-Assumptions!$D$65</f>
        <v>-0.5</v>
      </c>
      <c r="U49" s="40">
        <f>-Assumptions!$D$65</f>
        <v>-0.5</v>
      </c>
      <c r="V49" s="40">
        <f>-Assumptions!$D$65</f>
        <v>-0.5</v>
      </c>
      <c r="W49" s="40">
        <f>-Assumptions!$D$65</f>
        <v>-0.5</v>
      </c>
    </row>
    <row r="50" spans="1:23" ht="19" customHeight="1">
      <c r="A50" s="2"/>
      <c r="B50" s="2"/>
      <c r="C50" s="2" t="s">
        <v>159</v>
      </c>
      <c r="D50" s="3">
        <f t="shared" ref="D50:Q50" si="18">-D78*D64</f>
        <v>0</v>
      </c>
      <c r="E50" s="3">
        <f t="shared" si="18"/>
        <v>0</v>
      </c>
      <c r="F50" s="3">
        <f t="shared" si="18"/>
        <v>0</v>
      </c>
      <c r="G50" s="3">
        <f t="shared" si="18"/>
        <v>0</v>
      </c>
      <c r="H50" s="3">
        <f t="shared" si="18"/>
        <v>-0.1</v>
      </c>
      <c r="I50" s="3">
        <f t="shared" si="18"/>
        <v>-0.9</v>
      </c>
      <c r="J50" s="3">
        <f t="shared" si="18"/>
        <v>0</v>
      </c>
      <c r="K50" s="3">
        <f t="shared" si="18"/>
        <v>0</v>
      </c>
      <c r="L50" s="3">
        <f t="shared" si="18"/>
        <v>0</v>
      </c>
      <c r="M50" s="3">
        <f t="shared" si="18"/>
        <v>0</v>
      </c>
      <c r="N50" s="3">
        <f t="shared" si="18"/>
        <v>-0.1</v>
      </c>
      <c r="O50" s="3">
        <f t="shared" si="18"/>
        <v>-0.9</v>
      </c>
      <c r="P50" s="3">
        <f t="shared" si="18"/>
        <v>0</v>
      </c>
      <c r="Q50" s="3">
        <f t="shared" si="18"/>
        <v>0</v>
      </c>
      <c r="R50" s="40">
        <f>-R28*Assumptions!$D$66</f>
        <v>-7.6156583629893249E-2</v>
      </c>
      <c r="S50" s="40">
        <f>-S28*Assumptions!$D$66</f>
        <v>-0.68540925266903907</v>
      </c>
      <c r="T50" s="40">
        <f>-T28*Assumptions!$D$66</f>
        <v>-2.384341637010676E-2</v>
      </c>
      <c r="U50" s="40">
        <f>-U28*Assumptions!$D$66</f>
        <v>-0.21459074733096087</v>
      </c>
      <c r="V50" s="40">
        <f>-V28*Assumptions!$D$66</f>
        <v>-7.6156583629893249E-2</v>
      </c>
      <c r="W50" s="40">
        <f>-W28*Assumptions!$D$66</f>
        <v>-0.68540925266903907</v>
      </c>
    </row>
    <row r="51" spans="1:23" ht="19" customHeight="1">
      <c r="A51" s="2"/>
      <c r="B51" s="2"/>
      <c r="C51" s="41" t="s">
        <v>160</v>
      </c>
      <c r="D51" s="42">
        <f t="shared" ref="D51:W51" si="19">SUM(D27,D30,D34:D35,D39:D41,D47,D49)</f>
        <v>64.085215605749482</v>
      </c>
      <c r="E51" s="42">
        <f t="shared" si="19"/>
        <v>68.914784394250503</v>
      </c>
      <c r="F51" s="42">
        <f t="shared" si="19"/>
        <v>68.956514962593531</v>
      </c>
      <c r="G51" s="42">
        <f t="shared" si="19"/>
        <v>78.043485037406469</v>
      </c>
      <c r="H51" s="42">
        <f t="shared" si="19"/>
        <v>78.422464495768168</v>
      </c>
      <c r="I51" s="42">
        <f t="shared" si="19"/>
        <v>84.577535504231804</v>
      </c>
      <c r="J51" s="42">
        <f t="shared" si="19"/>
        <v>82.776916451335097</v>
      </c>
      <c r="K51" s="42">
        <f t="shared" si="19"/>
        <v>77.223083548664931</v>
      </c>
      <c r="L51" s="42">
        <f t="shared" si="19"/>
        <v>58.293169282986824</v>
      </c>
      <c r="M51" s="42">
        <f t="shared" si="19"/>
        <v>71.706830717013105</v>
      </c>
      <c r="N51" s="42">
        <f t="shared" si="19"/>
        <v>73.654353717450192</v>
      </c>
      <c r="O51" s="42">
        <f t="shared" si="19"/>
        <v>90.345646282549808</v>
      </c>
      <c r="P51" s="42">
        <f t="shared" si="19"/>
        <v>86.78116343490305</v>
      </c>
      <c r="Q51" s="42">
        <f t="shared" si="19"/>
        <v>99.21883656509695</v>
      </c>
      <c r="R51" s="43">
        <f t="shared" si="19"/>
        <v>140.54021606274441</v>
      </c>
      <c r="S51" s="43">
        <f t="shared" si="19"/>
        <v>147.19747146431291</v>
      </c>
      <c r="T51" s="43">
        <f t="shared" si="19"/>
        <v>154.02115825092073</v>
      </c>
      <c r="U51" s="43">
        <f t="shared" si="19"/>
        <v>161.01543720719383</v>
      </c>
      <c r="V51" s="43">
        <f t="shared" si="19"/>
        <v>168.18457313737363</v>
      </c>
      <c r="W51" s="43">
        <f t="shared" si="19"/>
        <v>175.53293746580803</v>
      </c>
    </row>
    <row r="52" spans="1:23" ht="19" customHeight="1">
      <c r="A52" s="2"/>
      <c r="B52" s="2"/>
      <c r="C52" s="41" t="s">
        <v>161</v>
      </c>
      <c r="D52" s="42">
        <f t="shared" ref="D52:W52" si="20">SUM(D28:D29,D36:D37,D48,D50)</f>
        <v>-0.25882352941176467</v>
      </c>
      <c r="E52" s="42">
        <f t="shared" si="20"/>
        <v>4.2588235294117611</v>
      </c>
      <c r="F52" s="42">
        <f t="shared" si="20"/>
        <v>6.9288135593220321</v>
      </c>
      <c r="G52" s="42">
        <f t="shared" si="20"/>
        <v>49.071186440677977</v>
      </c>
      <c r="H52" s="42">
        <f t="shared" si="20"/>
        <v>14.213397129186605</v>
      </c>
      <c r="I52" s="42">
        <f t="shared" si="20"/>
        <v>79.786602870813397</v>
      </c>
      <c r="J52" s="42">
        <f t="shared" si="20"/>
        <v>4.2649006622516552</v>
      </c>
      <c r="K52" s="42">
        <f t="shared" si="20"/>
        <v>51.735099337748345</v>
      </c>
      <c r="L52" s="42">
        <f t="shared" si="20"/>
        <v>0.832558139534882</v>
      </c>
      <c r="M52" s="42">
        <f t="shared" si="20"/>
        <v>15.167441860465125</v>
      </c>
      <c r="N52" s="42">
        <f t="shared" si="20"/>
        <v>11.427038626609447</v>
      </c>
      <c r="O52" s="42">
        <f t="shared" si="20"/>
        <v>85.572961373390555</v>
      </c>
      <c r="P52" s="42">
        <f t="shared" si="20"/>
        <v>12.812000000000005</v>
      </c>
      <c r="Q52" s="42">
        <f t="shared" si="20"/>
        <v>98.188000000000002</v>
      </c>
      <c r="R52" s="43">
        <f t="shared" si="20"/>
        <v>9.2819938865895466</v>
      </c>
      <c r="S52" s="43">
        <f t="shared" si="20"/>
        <v>75.757380715983004</v>
      </c>
      <c r="T52" s="43">
        <f t="shared" si="20"/>
        <v>3.5741189660750345</v>
      </c>
      <c r="U52" s="43">
        <f t="shared" si="20"/>
        <v>24.386506431352437</v>
      </c>
      <c r="V52" s="43">
        <f t="shared" si="20"/>
        <v>9.2819938865895466</v>
      </c>
      <c r="W52" s="43">
        <f t="shared" si="20"/>
        <v>75.757380715983004</v>
      </c>
    </row>
    <row r="53" spans="1:23" ht="19" customHeight="1">
      <c r="A53" s="2"/>
      <c r="B53" s="2"/>
      <c r="C53" s="41" t="s">
        <v>162</v>
      </c>
      <c r="D53" s="42">
        <f t="shared" ref="D53:W53" si="21">SUM(D51:D52)</f>
        <v>63.826392076337719</v>
      </c>
      <c r="E53" s="42">
        <f t="shared" si="21"/>
        <v>73.17360792366226</v>
      </c>
      <c r="F53" s="42">
        <f t="shared" si="21"/>
        <v>75.885328521915568</v>
      </c>
      <c r="G53" s="42">
        <f t="shared" si="21"/>
        <v>127.11467147808445</v>
      </c>
      <c r="H53" s="42">
        <f t="shared" si="21"/>
        <v>92.635861624954771</v>
      </c>
      <c r="I53" s="42">
        <f t="shared" si="21"/>
        <v>164.3641383750452</v>
      </c>
      <c r="J53" s="42">
        <f t="shared" si="21"/>
        <v>87.041817113586745</v>
      </c>
      <c r="K53" s="42">
        <f t="shared" si="21"/>
        <v>128.95818288641328</v>
      </c>
      <c r="L53" s="42">
        <f t="shared" si="21"/>
        <v>59.125727422521706</v>
      </c>
      <c r="M53" s="42">
        <f t="shared" si="21"/>
        <v>86.874272577478223</v>
      </c>
      <c r="N53" s="42">
        <f t="shared" si="21"/>
        <v>85.081392344059637</v>
      </c>
      <c r="O53" s="42">
        <f t="shared" si="21"/>
        <v>175.91860765594038</v>
      </c>
      <c r="P53" s="42">
        <f t="shared" si="21"/>
        <v>99.593163434903062</v>
      </c>
      <c r="Q53" s="42">
        <f t="shared" si="21"/>
        <v>197.40683656509697</v>
      </c>
      <c r="R53" s="43">
        <f t="shared" si="21"/>
        <v>149.82220994933397</v>
      </c>
      <c r="S53" s="43">
        <f t="shared" si="21"/>
        <v>222.95485218029592</v>
      </c>
      <c r="T53" s="43">
        <f t="shared" si="21"/>
        <v>157.59527721699578</v>
      </c>
      <c r="U53" s="43">
        <f t="shared" si="21"/>
        <v>185.40194363854627</v>
      </c>
      <c r="V53" s="43">
        <f t="shared" si="21"/>
        <v>177.46656702396319</v>
      </c>
      <c r="W53" s="43">
        <f t="shared" si="21"/>
        <v>251.29031818179104</v>
      </c>
    </row>
    <row r="54" spans="1:23" ht="19" customHeight="1">
      <c r="A54" s="2"/>
      <c r="B54" s="2"/>
      <c r="C54" s="2" t="s">
        <v>163</v>
      </c>
      <c r="D54" s="3">
        <f t="shared" ref="D54:Q54" si="22">-D53*D79/D80</f>
        <v>-13.5106961329474</v>
      </c>
      <c r="E54" s="3">
        <f t="shared" si="22"/>
        <v>-15.489303867052596</v>
      </c>
      <c r="F54" s="3">
        <f t="shared" si="22"/>
        <v>-14.952774092988289</v>
      </c>
      <c r="G54" s="3">
        <f t="shared" si="22"/>
        <v>-25.047225907011711</v>
      </c>
      <c r="H54" s="3">
        <f t="shared" si="22"/>
        <v>-19.103893642500402</v>
      </c>
      <c r="I54" s="3">
        <f t="shared" si="22"/>
        <v>-33.896106357499598</v>
      </c>
      <c r="J54" s="3">
        <f t="shared" si="22"/>
        <v>-15.715883645508718</v>
      </c>
      <c r="K54" s="3">
        <f t="shared" si="22"/>
        <v>-23.284116354491289</v>
      </c>
      <c r="L54" s="3">
        <f t="shared" si="22"/>
        <v>-13.364034280432989</v>
      </c>
      <c r="M54" s="3">
        <f t="shared" si="22"/>
        <v>-19.635965719566997</v>
      </c>
      <c r="N54" s="3">
        <f t="shared" si="22"/>
        <v>-17.277064345728583</v>
      </c>
      <c r="O54" s="3">
        <f t="shared" si="22"/>
        <v>-35.722935654271417</v>
      </c>
      <c r="P54" s="3">
        <f t="shared" si="22"/>
        <v>-22.46714461326096</v>
      </c>
      <c r="Q54" s="3">
        <f t="shared" si="22"/>
        <v>-44.532855386739044</v>
      </c>
      <c r="R54" s="40">
        <f>-R53*Assumptions!$D$56</f>
        <v>-31.657764264478431</v>
      </c>
      <c r="S54" s="40">
        <f>-S53*Assumptions!$D$56</f>
        <v>-47.110853286254176</v>
      </c>
      <c r="T54" s="40">
        <f>-T53*Assumptions!$D$56</f>
        <v>-33.300230566736211</v>
      </c>
      <c r="U54" s="40">
        <f>-U53*Assumptions!$D$56</f>
        <v>-39.175840670552773</v>
      </c>
      <c r="V54" s="40">
        <f>-V53*Assumptions!$D$56</f>
        <v>-37.499078044375516</v>
      </c>
      <c r="W54" s="40">
        <f>-W53*Assumptions!$D$56</f>
        <v>-53.098199910648717</v>
      </c>
    </row>
    <row r="55" spans="1:23" ht="19" customHeight="1">
      <c r="A55" s="2"/>
      <c r="B55" s="2"/>
      <c r="C55" s="41" t="s">
        <v>164</v>
      </c>
      <c r="D55" s="42">
        <f t="shared" ref="D55:W55" si="23">SUM(D53:D54)</f>
        <v>50.315695943390317</v>
      </c>
      <c r="E55" s="42">
        <f t="shared" si="23"/>
        <v>57.684304056609662</v>
      </c>
      <c r="F55" s="42">
        <f t="shared" si="23"/>
        <v>60.932554428927276</v>
      </c>
      <c r="G55" s="42">
        <f t="shared" si="23"/>
        <v>102.06744557107274</v>
      </c>
      <c r="H55" s="42">
        <f t="shared" si="23"/>
        <v>73.531967982454375</v>
      </c>
      <c r="I55" s="42">
        <f t="shared" si="23"/>
        <v>130.4680320175456</v>
      </c>
      <c r="J55" s="42">
        <f t="shared" si="23"/>
        <v>71.325933468078034</v>
      </c>
      <c r="K55" s="42">
        <f t="shared" si="23"/>
        <v>105.67406653192199</v>
      </c>
      <c r="L55" s="42">
        <f t="shared" si="23"/>
        <v>45.761693142088717</v>
      </c>
      <c r="M55" s="42">
        <f t="shared" si="23"/>
        <v>67.238306857911226</v>
      </c>
      <c r="N55" s="42">
        <f t="shared" si="23"/>
        <v>67.804327998331047</v>
      </c>
      <c r="O55" s="42">
        <f t="shared" si="23"/>
        <v>140.19567200166895</v>
      </c>
      <c r="P55" s="42">
        <f t="shared" si="23"/>
        <v>77.126018821642106</v>
      </c>
      <c r="Q55" s="42">
        <f t="shared" si="23"/>
        <v>152.87398117835792</v>
      </c>
      <c r="R55" s="43">
        <f t="shared" si="23"/>
        <v>118.16444568485554</v>
      </c>
      <c r="S55" s="43">
        <f t="shared" si="23"/>
        <v>175.84399889404173</v>
      </c>
      <c r="T55" s="43">
        <f t="shared" si="23"/>
        <v>124.29504665025956</v>
      </c>
      <c r="U55" s="43">
        <f t="shared" si="23"/>
        <v>146.22610296799348</v>
      </c>
      <c r="V55" s="43">
        <f t="shared" si="23"/>
        <v>139.96748897958767</v>
      </c>
      <c r="W55" s="43">
        <f t="shared" si="23"/>
        <v>198.19211827114231</v>
      </c>
    </row>
    <row r="56" spans="1:23" ht="19" customHeight="1">
      <c r="A56" s="2"/>
      <c r="B56" s="2"/>
      <c r="C56" s="2" t="s">
        <v>165</v>
      </c>
      <c r="D56" s="3">
        <f t="shared" ref="D56:Q56" si="24">D81</f>
        <v>1217</v>
      </c>
      <c r="E56" s="3">
        <f t="shared" si="24"/>
        <v>1217</v>
      </c>
      <c r="F56" s="3">
        <f t="shared" si="24"/>
        <v>1197.2730235326089</v>
      </c>
      <c r="G56" s="3">
        <f t="shared" si="24"/>
        <v>1197.2730235326089</v>
      </c>
      <c r="H56" s="3">
        <f t="shared" si="24"/>
        <v>1192</v>
      </c>
      <c r="I56" s="3">
        <f t="shared" si="24"/>
        <v>1192</v>
      </c>
      <c r="J56" s="3">
        <f t="shared" si="24"/>
        <v>1186.1834742934784</v>
      </c>
      <c r="K56" s="3">
        <f t="shared" si="24"/>
        <v>1186.1834742934784</v>
      </c>
      <c r="L56" s="3">
        <f t="shared" si="24"/>
        <v>1168</v>
      </c>
      <c r="M56" s="3">
        <f t="shared" si="24"/>
        <v>1168</v>
      </c>
      <c r="N56" s="3">
        <f t="shared" si="24"/>
        <v>1161.8056484782608</v>
      </c>
      <c r="O56" s="3">
        <f t="shared" si="24"/>
        <v>1161.8056484782608</v>
      </c>
      <c r="P56" s="3">
        <f t="shared" si="24"/>
        <v>1153</v>
      </c>
      <c r="Q56" s="3">
        <f t="shared" si="24"/>
        <v>1153</v>
      </c>
      <c r="R56" s="40">
        <f>Assumptions!$D$57</f>
        <v>1164.8773679999999</v>
      </c>
      <c r="S56" s="40">
        <f>Assumptions!$D$57</f>
        <v>1164.8773679999999</v>
      </c>
      <c r="T56" s="40">
        <f>Assumptions!$D$57</f>
        <v>1164.8773679999999</v>
      </c>
      <c r="U56" s="40">
        <f>Assumptions!$D$57</f>
        <v>1164.8773679999999</v>
      </c>
      <c r="V56" s="40">
        <f>Assumptions!$D$57</f>
        <v>1164.8773679999999</v>
      </c>
      <c r="W56" s="40">
        <f>Assumptions!$D$57</f>
        <v>1164.8773679999999</v>
      </c>
    </row>
    <row r="57" spans="1:23" ht="19" customHeight="1">
      <c r="A57" s="2"/>
      <c r="B57" s="2"/>
      <c r="C57" s="41" t="s">
        <v>32</v>
      </c>
      <c r="D57" s="50">
        <f>D55/D56*Assumptions!$D$61</f>
        <v>4.1344039394733212</v>
      </c>
      <c r="E57" s="50">
        <f>E55/E56*Assumptions!$D$61</f>
        <v>4.7398770794256091</v>
      </c>
      <c r="F57" s="50">
        <f>F55/F56*Assumptions!$D$61</f>
        <v>5.0892781538786354</v>
      </c>
      <c r="G57" s="50">
        <f>G55/G56*Assumptions!$D$61</f>
        <v>8.5249933444518824</v>
      </c>
      <c r="H57" s="50">
        <f>H55/H56*Assumptions!$D$61</f>
        <v>6.1687892602730177</v>
      </c>
      <c r="I57" s="50">
        <f>I55/I56*Assumptions!$D$61</f>
        <v>10.945304699458523</v>
      </c>
      <c r="J57" s="50">
        <f>J55/J56*Assumptions!$D$61</f>
        <v>6.0130607965653544</v>
      </c>
      <c r="K57" s="50">
        <f>K55/K56*Assumptions!$D$61</f>
        <v>8.9087454699926756</v>
      </c>
      <c r="L57" s="50">
        <f>L55/L56*Assumptions!$D$61</f>
        <v>3.9179531799733489</v>
      </c>
      <c r="M57" s="50">
        <f>M55/M56*Assumptions!$D$61</f>
        <v>5.7567043542732215</v>
      </c>
      <c r="N57" s="50">
        <f>N55/N56*Assumptions!$D$61</f>
        <v>5.8361162288323793</v>
      </c>
      <c r="O57" s="50">
        <f>O55/O56*Assumptions!$D$61</f>
        <v>12.067050300994662</v>
      </c>
      <c r="P57" s="50">
        <f>P55/P56*Assumptions!$D$61</f>
        <v>6.6891603487981008</v>
      </c>
      <c r="Q57" s="50">
        <f>Q55/Q56*Assumptions!$D$61</f>
        <v>13.2588014898836</v>
      </c>
      <c r="R57" s="51">
        <f>R55/R56*Assumptions!$D$61</f>
        <v>10.143938660919675</v>
      </c>
      <c r="S57" s="51">
        <f>S55/S56*Assumptions!$D$61</f>
        <v>15.095494489342826</v>
      </c>
      <c r="T57" s="51">
        <f>T55/T56*Assumptions!$D$61</f>
        <v>10.670225902290822</v>
      </c>
      <c r="U57" s="51">
        <f>U55/U56*Assumptions!$D$61</f>
        <v>12.552918185632866</v>
      </c>
      <c r="V57" s="51">
        <f>V55/V56*Assumptions!$D$61</f>
        <v>12.015641545161145</v>
      </c>
      <c r="W57" s="51">
        <f>W55/W56*Assumptions!$D$61</f>
        <v>17.013989945690344</v>
      </c>
    </row>
    <row r="58" spans="1:23" ht="19" customHeight="1">
      <c r="A58" s="2"/>
      <c r="B58" s="2"/>
      <c r="C58" s="45" t="s">
        <v>166</v>
      </c>
      <c r="D58" s="46">
        <f t="shared" ref="D58:W58" si="25">D44/D31</f>
        <v>0.27798688618854278</v>
      </c>
      <c r="E58" s="46">
        <f t="shared" si="25"/>
        <v>0.27942752744500021</v>
      </c>
      <c r="F58" s="46">
        <f t="shared" si="25"/>
        <v>0.30381503164528173</v>
      </c>
      <c r="G58" s="46">
        <f t="shared" si="25"/>
        <v>0.33206403432070114</v>
      </c>
      <c r="H58" s="46">
        <f t="shared" si="25"/>
        <v>0.32677668182015568</v>
      </c>
      <c r="I58" s="46">
        <f t="shared" si="25"/>
        <v>0.38271071752615043</v>
      </c>
      <c r="J58" s="46">
        <f t="shared" si="25"/>
        <v>0.30846851222024141</v>
      </c>
      <c r="K58" s="46">
        <f t="shared" si="25"/>
        <v>0.33261623772076016</v>
      </c>
      <c r="L58" s="46">
        <f t="shared" si="25"/>
        <v>0.23904148596352826</v>
      </c>
      <c r="M58" s="46">
        <f t="shared" si="25"/>
        <v>0.27047430638768222</v>
      </c>
      <c r="N58" s="46">
        <f t="shared" si="25"/>
        <v>0.30218682700623356</v>
      </c>
      <c r="O58" s="46">
        <f t="shared" si="25"/>
        <v>0.36912867666815458</v>
      </c>
      <c r="P58" s="46">
        <f t="shared" si="25"/>
        <v>0.31220368329272108</v>
      </c>
      <c r="Q58" s="46">
        <f t="shared" si="25"/>
        <v>0.39075869968977323</v>
      </c>
      <c r="R58" s="47">
        <f t="shared" si="25"/>
        <v>0.39628315365143052</v>
      </c>
      <c r="S58" s="47">
        <f t="shared" si="25"/>
        <v>0.40037523128142433</v>
      </c>
      <c r="T58" s="47">
        <f t="shared" si="25"/>
        <v>0.41234477770084826</v>
      </c>
      <c r="U58" s="47">
        <f t="shared" si="25"/>
        <v>0.41672240923241727</v>
      </c>
      <c r="V58" s="47">
        <f t="shared" si="25"/>
        <v>0.42630601790688966</v>
      </c>
      <c r="W58" s="47">
        <f t="shared" si="25"/>
        <v>0.42174434111580716</v>
      </c>
    </row>
    <row r="59" spans="1:23" ht="19" customHeight="1">
      <c r="A59" s="2"/>
      <c r="B59" s="2"/>
      <c r="C59" s="45" t="s">
        <v>167</v>
      </c>
      <c r="D59" s="46">
        <f t="shared" ref="D59:W59" si="26">D28/D31</f>
        <v>1.3311477818332154E-2</v>
      </c>
      <c r="E59" s="46">
        <f t="shared" si="26"/>
        <v>0.1056469951965628</v>
      </c>
      <c r="F59" s="46">
        <f t="shared" si="26"/>
        <v>5.3602489822465689E-2</v>
      </c>
      <c r="G59" s="46">
        <f t="shared" si="26"/>
        <v>0.32735844958696148</v>
      </c>
      <c r="H59" s="46">
        <f t="shared" si="26"/>
        <v>5.5146235921671845E-2</v>
      </c>
      <c r="I59" s="46">
        <f t="shared" si="26"/>
        <v>0.33795071692651263</v>
      </c>
      <c r="J59" s="46">
        <f t="shared" si="26"/>
        <v>4.71758078138741E-2</v>
      </c>
      <c r="K59" s="46">
        <f t="shared" si="26"/>
        <v>0.31402829745168376</v>
      </c>
      <c r="L59" s="46">
        <f t="shared" si="26"/>
        <v>2.5171860831075161E-2</v>
      </c>
      <c r="M59" s="46">
        <f t="shared" si="26"/>
        <v>0.17849226281224803</v>
      </c>
      <c r="N59" s="46">
        <f t="shared" si="26"/>
        <v>7.1313396616114327E-2</v>
      </c>
      <c r="O59" s="46">
        <f t="shared" si="26"/>
        <v>0.38994474585090527</v>
      </c>
      <c r="P59" s="46">
        <f t="shared" si="26"/>
        <v>6.1788132531066887E-2</v>
      </c>
      <c r="Q59" s="46">
        <f t="shared" si="26"/>
        <v>0.35966347277401262</v>
      </c>
      <c r="R59" s="47">
        <f t="shared" si="26"/>
        <v>5.474854046531144E-2</v>
      </c>
      <c r="S59" s="47">
        <f t="shared" si="26"/>
        <v>0.33726461412138853</v>
      </c>
      <c r="T59" s="47">
        <f t="shared" si="26"/>
        <v>1.6988838703810061E-2</v>
      </c>
      <c r="U59" s="47">
        <f t="shared" si="26"/>
        <v>0.1318267660130984</v>
      </c>
      <c r="V59" s="47">
        <f t="shared" si="26"/>
        <v>4.9977060728088982E-2</v>
      </c>
      <c r="W59" s="47">
        <f t="shared" si="26"/>
        <v>0.31609195510350718</v>
      </c>
    </row>
    <row r="60" spans="1:23" ht="19" customHeight="1">
      <c r="A60" s="2"/>
      <c r="B60" s="2"/>
      <c r="C60" s="45" t="s">
        <v>168</v>
      </c>
      <c r="D60" s="46">
        <f t="shared" ref="D60:W60" si="27">-D54/D53</f>
        <v>0.21167883211678831</v>
      </c>
      <c r="E60" s="46">
        <f t="shared" si="27"/>
        <v>0.21167883211678834</v>
      </c>
      <c r="F60" s="46">
        <f t="shared" si="27"/>
        <v>0.19704433497536944</v>
      </c>
      <c r="G60" s="46">
        <f t="shared" si="27"/>
        <v>0.19704433497536944</v>
      </c>
      <c r="H60" s="46">
        <f t="shared" si="27"/>
        <v>0.20622568093385216</v>
      </c>
      <c r="I60" s="46">
        <f t="shared" si="27"/>
        <v>0.20622568093385216</v>
      </c>
      <c r="J60" s="46">
        <f t="shared" si="27"/>
        <v>0.18055555555555555</v>
      </c>
      <c r="K60" s="46">
        <f t="shared" si="27"/>
        <v>0.18055555555555558</v>
      </c>
      <c r="L60" s="46">
        <f t="shared" si="27"/>
        <v>0.22602739726027399</v>
      </c>
      <c r="M60" s="46">
        <f t="shared" si="27"/>
        <v>0.22602739726027399</v>
      </c>
      <c r="N60" s="46">
        <f t="shared" si="27"/>
        <v>0.20306513409961682</v>
      </c>
      <c r="O60" s="46">
        <f t="shared" si="27"/>
        <v>0.20306513409961685</v>
      </c>
      <c r="P60" s="46">
        <f t="shared" si="27"/>
        <v>0.22558922558922559</v>
      </c>
      <c r="Q60" s="46">
        <f t="shared" si="27"/>
        <v>0.22558922558922559</v>
      </c>
      <c r="R60" s="47">
        <f t="shared" si="27"/>
        <v>0.2113022113022113</v>
      </c>
      <c r="S60" s="47">
        <f t="shared" si="27"/>
        <v>0.2113022113022113</v>
      </c>
      <c r="T60" s="47">
        <f t="shared" si="27"/>
        <v>0.2113022113022113</v>
      </c>
      <c r="U60" s="47">
        <f t="shared" si="27"/>
        <v>0.2113022113022113</v>
      </c>
      <c r="V60" s="47">
        <f t="shared" si="27"/>
        <v>0.2113022113022113</v>
      </c>
      <c r="W60" s="47">
        <f t="shared" si="27"/>
        <v>0.2113022113022113</v>
      </c>
    </row>
    <row r="61" spans="1:23" ht="19" customHeight="1">
      <c r="A61" s="2"/>
      <c r="B61" s="2"/>
      <c r="C61" s="2"/>
      <c r="D61" s="3"/>
      <c r="E61" s="3"/>
      <c r="F61" s="3"/>
      <c r="G61" s="3"/>
      <c r="H61" s="3"/>
      <c r="I61" s="3"/>
      <c r="J61" s="3"/>
      <c r="K61" s="3"/>
      <c r="L61" s="3"/>
      <c r="M61" s="3"/>
      <c r="N61" s="3"/>
      <c r="O61" s="3"/>
      <c r="P61" s="3"/>
      <c r="Q61" s="3"/>
      <c r="R61" s="3"/>
      <c r="S61" s="3"/>
      <c r="T61" s="3"/>
      <c r="U61" s="3"/>
      <c r="V61" s="3"/>
      <c r="W61" s="3"/>
    </row>
    <row r="62" spans="1:23" ht="19" customHeight="1">
      <c r="A62" s="2"/>
      <c r="B62" s="2"/>
      <c r="C62" s="11" t="s">
        <v>169</v>
      </c>
      <c r="D62" s="12"/>
      <c r="E62" s="12"/>
      <c r="F62" s="12"/>
      <c r="G62" s="12"/>
      <c r="H62" s="12"/>
      <c r="I62" s="12"/>
      <c r="J62" s="12"/>
      <c r="K62" s="12"/>
      <c r="L62" s="12"/>
      <c r="M62" s="12"/>
      <c r="N62" s="12"/>
      <c r="O62" s="12"/>
      <c r="P62" s="12"/>
      <c r="Q62" s="12"/>
      <c r="R62" s="12"/>
      <c r="S62" s="12"/>
      <c r="T62" s="12"/>
      <c r="U62" s="12"/>
      <c r="V62" s="12"/>
      <c r="W62" s="12"/>
    </row>
    <row r="63" spans="1:23" ht="19" customHeight="1">
      <c r="A63" s="2"/>
      <c r="B63" s="2"/>
      <c r="C63" s="45" t="s">
        <v>170</v>
      </c>
      <c r="D63" s="46">
        <f>D18/SUM(D18:E18)</f>
        <v>0.49281314168377827</v>
      </c>
      <c r="E63" s="46">
        <f>E18/SUM(D18:E18)</f>
        <v>0.50718685831622179</v>
      </c>
      <c r="F63" s="46">
        <f>F18/SUM(F18:G18)</f>
        <v>0.48768703241895267</v>
      </c>
      <c r="G63" s="46">
        <f>G18/SUM(F18:G18)</f>
        <v>0.51231296758104738</v>
      </c>
      <c r="H63" s="46">
        <f>H18/SUM(H18:I18)</f>
        <v>0.49232534786974608</v>
      </c>
      <c r="I63" s="46">
        <f>I18/SUM(H18:I18)</f>
        <v>0.50767465213025398</v>
      </c>
      <c r="J63" s="46">
        <f>J18/SUM(J18:K18)</f>
        <v>0.50689061154177439</v>
      </c>
      <c r="K63" s="46">
        <f>K18/SUM(J18:K18)</f>
        <v>0.49310938845822566</v>
      </c>
      <c r="L63" s="46">
        <f>L18/SUM(L18:M18)</f>
        <v>0.48253429500777822</v>
      </c>
      <c r="M63" s="46">
        <f>M18/SUM(L18:M18)</f>
        <v>0.51746570499222166</v>
      </c>
      <c r="N63" s="46">
        <f>N18/SUM(N18:O18)</f>
        <v>0.47979262401319667</v>
      </c>
      <c r="O63" s="46">
        <f>O18/SUM(N18:O18)</f>
        <v>0.52020737598680333</v>
      </c>
      <c r="P63" s="46">
        <f>P18/SUM(P18:Q18)</f>
        <v>0.48614958448753465</v>
      </c>
      <c r="Q63" s="46">
        <f>Q18/SUM(P18:Q18)</f>
        <v>0.51385041551246535</v>
      </c>
      <c r="R63" s="46"/>
      <c r="S63" s="46"/>
      <c r="T63" s="46"/>
      <c r="U63" s="46"/>
      <c r="V63" s="46"/>
      <c r="W63" s="46"/>
    </row>
    <row r="64" spans="1:23" ht="19" customHeight="1">
      <c r="A64" s="2"/>
      <c r="B64" s="2"/>
      <c r="C64" s="45" t="s">
        <v>171</v>
      </c>
      <c r="D64" s="48">
        <f>Assumptions!$D$41</f>
        <v>0.1</v>
      </c>
      <c r="E64" s="48">
        <f>1-Assumptions!$D$41</f>
        <v>0.9</v>
      </c>
      <c r="F64" s="48">
        <f>Assumptions!$D$42</f>
        <v>0.1</v>
      </c>
      <c r="G64" s="48">
        <f>1-Assumptions!$D$42</f>
        <v>0.9</v>
      </c>
      <c r="H64" s="48">
        <f>Assumptions!$D$41</f>
        <v>0.1</v>
      </c>
      <c r="I64" s="48">
        <f>1-Assumptions!$D$41</f>
        <v>0.9</v>
      </c>
      <c r="J64" s="48">
        <f>Assumptions!$D$42</f>
        <v>0.1</v>
      </c>
      <c r="K64" s="48">
        <f>1-Assumptions!$D$42</f>
        <v>0.9</v>
      </c>
      <c r="L64" s="48">
        <f>Assumptions!$D$41</f>
        <v>0.1</v>
      </c>
      <c r="M64" s="48">
        <f>1-Assumptions!$D$41</f>
        <v>0.9</v>
      </c>
      <c r="N64" s="48">
        <f>Assumptions!$D$42</f>
        <v>0.1</v>
      </c>
      <c r="O64" s="48">
        <f>1-Assumptions!$D$42</f>
        <v>0.9</v>
      </c>
      <c r="P64" s="48">
        <f>Assumptions!$D$41</f>
        <v>0.1</v>
      </c>
      <c r="Q64" s="48">
        <f>1-Assumptions!$D$41</f>
        <v>0.9</v>
      </c>
      <c r="R64" s="46"/>
      <c r="S64" s="46"/>
      <c r="T64" s="46"/>
      <c r="U64" s="46"/>
      <c r="V64" s="46"/>
      <c r="W64" s="46"/>
    </row>
    <row r="65" spans="1:23" ht="19" customHeight="1">
      <c r="A65" s="2"/>
      <c r="B65" s="2"/>
      <c r="C65" s="2" t="s">
        <v>172</v>
      </c>
      <c r="D65" s="7">
        <f>Disclosures!D22</f>
        <v>460</v>
      </c>
      <c r="E65" s="7">
        <f>Disclosures!D22</f>
        <v>460</v>
      </c>
      <c r="F65" s="7">
        <f>Disclosures!E22-Disclosures!D22</f>
        <v>503</v>
      </c>
      <c r="G65" s="7">
        <f>Disclosures!E22-Disclosures!D22</f>
        <v>503</v>
      </c>
      <c r="H65" s="7">
        <f>Disclosures!F22</f>
        <v>551</v>
      </c>
      <c r="I65" s="7">
        <f>Disclosures!F22</f>
        <v>551</v>
      </c>
      <c r="J65" s="7">
        <f>Disclosures!G22-Disclosures!F22</f>
        <v>546</v>
      </c>
      <c r="K65" s="7">
        <f>Disclosures!G22-Disclosures!F22</f>
        <v>546</v>
      </c>
      <c r="L65" s="7">
        <f>Disclosures!H22</f>
        <v>517</v>
      </c>
      <c r="M65" s="7">
        <f>Disclosures!H22</f>
        <v>517</v>
      </c>
      <c r="N65" s="7">
        <f>Disclosures!I22-Disclosures!H22</f>
        <v>560</v>
      </c>
      <c r="O65" s="7">
        <f>Disclosures!I22-Disclosures!H22</f>
        <v>560</v>
      </c>
      <c r="P65" s="7">
        <f>Disclosures!J22</f>
        <v>627</v>
      </c>
      <c r="Q65" s="7">
        <f>Disclosures!J22</f>
        <v>627</v>
      </c>
      <c r="R65" s="3"/>
      <c r="S65" s="3"/>
      <c r="T65" s="3"/>
      <c r="U65" s="3"/>
      <c r="V65" s="3"/>
      <c r="W65" s="3"/>
    </row>
    <row r="66" spans="1:23" ht="19" customHeight="1">
      <c r="A66" s="2"/>
      <c r="B66" s="2"/>
      <c r="C66" s="2" t="s">
        <v>173</v>
      </c>
      <c r="D66" s="7">
        <f>Disclosures!D23</f>
        <v>32</v>
      </c>
      <c r="E66" s="7">
        <f>Disclosures!D23</f>
        <v>32</v>
      </c>
      <c r="F66" s="7">
        <f>Disclosures!E23-Disclosures!D23</f>
        <v>148</v>
      </c>
      <c r="G66" s="7">
        <f>Disclosures!E23-Disclosures!D23</f>
        <v>148</v>
      </c>
      <c r="H66" s="7">
        <f>Disclosures!F23</f>
        <v>170</v>
      </c>
      <c r="I66" s="7">
        <f>Disclosures!F23</f>
        <v>170</v>
      </c>
      <c r="J66" s="7">
        <f>Disclosures!G23-Disclosures!F23</f>
        <v>140</v>
      </c>
      <c r="K66" s="7">
        <f>Disclosures!G23-Disclosures!F23</f>
        <v>140</v>
      </c>
      <c r="L66" s="7">
        <f>Disclosures!H23</f>
        <v>67</v>
      </c>
      <c r="M66" s="7">
        <f>Disclosures!H23</f>
        <v>67</v>
      </c>
      <c r="N66" s="7">
        <f>Disclosures!I23-Disclosures!H23</f>
        <v>214</v>
      </c>
      <c r="O66" s="7">
        <f>Disclosures!I23-Disclosures!H23</f>
        <v>214</v>
      </c>
      <c r="P66" s="7">
        <f>Disclosures!J23</f>
        <v>207</v>
      </c>
      <c r="Q66" s="7">
        <f>Disclosures!J23</f>
        <v>207</v>
      </c>
      <c r="R66" s="3"/>
      <c r="S66" s="3"/>
      <c r="T66" s="3"/>
      <c r="U66" s="3"/>
      <c r="V66" s="3"/>
      <c r="W66" s="3"/>
    </row>
    <row r="67" spans="1:23" ht="19" customHeight="1">
      <c r="A67" s="2"/>
      <c r="B67" s="2"/>
      <c r="C67" s="2" t="s">
        <v>174</v>
      </c>
      <c r="D67" s="7">
        <f>Disclosures!D24</f>
        <v>19</v>
      </c>
      <c r="E67" s="7">
        <f>Disclosures!D24</f>
        <v>19</v>
      </c>
      <c r="F67" s="7">
        <f>Disclosures!E24-Disclosures!D24</f>
        <v>29</v>
      </c>
      <c r="G67" s="7">
        <f>Disclosures!E24-Disclosures!D24</f>
        <v>29</v>
      </c>
      <c r="H67" s="7">
        <f>Disclosures!F24</f>
        <v>39</v>
      </c>
      <c r="I67" s="7">
        <f>Disclosures!F24</f>
        <v>39</v>
      </c>
      <c r="J67" s="7">
        <f>Disclosures!G24-Disclosures!F24</f>
        <v>11</v>
      </c>
      <c r="K67" s="7">
        <f>Disclosures!G24-Disclosures!F24</f>
        <v>11</v>
      </c>
      <c r="L67" s="7">
        <f>Disclosures!H24</f>
        <v>19</v>
      </c>
      <c r="M67" s="7">
        <f>Disclosures!H24</f>
        <v>19</v>
      </c>
      <c r="N67" s="7">
        <f>Disclosures!I24-Disclosures!H24</f>
        <v>19</v>
      </c>
      <c r="O67" s="7">
        <f>Disclosures!I24-Disclosures!H24</f>
        <v>19</v>
      </c>
      <c r="P67" s="7">
        <f>Disclosures!J24</f>
        <v>18</v>
      </c>
      <c r="Q67" s="7">
        <f>Disclosures!J24</f>
        <v>18</v>
      </c>
      <c r="R67" s="3"/>
      <c r="S67" s="3"/>
      <c r="T67" s="3"/>
      <c r="U67" s="3"/>
      <c r="V67" s="3"/>
      <c r="W67" s="3"/>
    </row>
    <row r="68" spans="1:23" ht="19" customHeight="1">
      <c r="A68" s="2"/>
      <c r="B68" s="2"/>
      <c r="C68" s="2" t="s">
        <v>175</v>
      </c>
      <c r="D68" s="7">
        <f>Disclosures!D27</f>
        <v>118</v>
      </c>
      <c r="E68" s="7">
        <f>Disclosures!D27</f>
        <v>118</v>
      </c>
      <c r="F68" s="7">
        <f>Disclosures!E27-Disclosures!D27</f>
        <v>121</v>
      </c>
      <c r="G68" s="7">
        <f>Disclosures!E27-Disclosures!D27</f>
        <v>121</v>
      </c>
      <c r="H68" s="7">
        <f>Disclosures!F27</f>
        <v>134</v>
      </c>
      <c r="I68" s="7">
        <f>Disclosures!F27</f>
        <v>134</v>
      </c>
      <c r="J68" s="7">
        <f>Disclosures!G27-Disclosures!F27</f>
        <v>130</v>
      </c>
      <c r="K68" s="7">
        <f>Disclosures!G27-Disclosures!F27</f>
        <v>130</v>
      </c>
      <c r="L68" s="7">
        <f>Disclosures!H27</f>
        <v>141</v>
      </c>
      <c r="M68" s="7">
        <f>Disclosures!H27</f>
        <v>141</v>
      </c>
      <c r="N68" s="7">
        <f>Disclosures!I27-Disclosures!H27</f>
        <v>133</v>
      </c>
      <c r="O68" s="7">
        <f>Disclosures!I27-Disclosures!H27</f>
        <v>133</v>
      </c>
      <c r="P68" s="7">
        <f>Disclosures!J27</f>
        <v>143</v>
      </c>
      <c r="Q68" s="7">
        <f>Disclosures!J27</f>
        <v>143</v>
      </c>
      <c r="R68" s="3"/>
      <c r="S68" s="3"/>
      <c r="T68" s="3"/>
      <c r="U68" s="3"/>
      <c r="V68" s="3"/>
      <c r="W68" s="3"/>
    </row>
    <row r="69" spans="1:23" ht="19" customHeight="1">
      <c r="A69" s="2"/>
      <c r="B69" s="2"/>
      <c r="C69" s="2" t="s">
        <v>176</v>
      </c>
      <c r="D69" s="7">
        <f>Disclosures!D28</f>
        <v>215</v>
      </c>
      <c r="E69" s="7">
        <f>Disclosures!D28</f>
        <v>215</v>
      </c>
      <c r="F69" s="7">
        <f>Disclosures!E28-Disclosures!D28</f>
        <v>224</v>
      </c>
      <c r="G69" s="7">
        <f>Disclosures!E28-Disclosures!D28</f>
        <v>224</v>
      </c>
      <c r="H69" s="7">
        <f>Disclosures!F28</f>
        <v>251</v>
      </c>
      <c r="I69" s="7">
        <f>Disclosures!F28</f>
        <v>251</v>
      </c>
      <c r="J69" s="7">
        <f>Disclosures!G28-Disclosures!F28</f>
        <v>239</v>
      </c>
      <c r="K69" s="7">
        <f>Disclosures!G28-Disclosures!F28</f>
        <v>239</v>
      </c>
      <c r="L69" s="7">
        <f>Disclosures!H28</f>
        <v>239</v>
      </c>
      <c r="M69" s="7">
        <f>Disclosures!H28</f>
        <v>239</v>
      </c>
      <c r="N69" s="7">
        <f>Disclosures!I28-Disclosures!H28</f>
        <v>242</v>
      </c>
      <c r="O69" s="7">
        <f>Disclosures!I28-Disclosures!H28</f>
        <v>242</v>
      </c>
      <c r="P69" s="7">
        <f>Disclosures!J28</f>
        <v>282</v>
      </c>
      <c r="Q69" s="7">
        <f>Disclosures!J28</f>
        <v>282</v>
      </c>
      <c r="R69" s="3"/>
      <c r="S69" s="3"/>
      <c r="T69" s="3"/>
      <c r="U69" s="3"/>
      <c r="V69" s="3"/>
      <c r="W69" s="3"/>
    </row>
    <row r="70" spans="1:23" ht="19" customHeight="1">
      <c r="A70" s="2"/>
      <c r="B70" s="2"/>
      <c r="C70" s="2" t="s">
        <v>177</v>
      </c>
      <c r="D70" s="7">
        <f>Disclosures!D29</f>
        <v>42</v>
      </c>
      <c r="E70" s="7">
        <f>Disclosures!D29</f>
        <v>42</v>
      </c>
      <c r="F70" s="7">
        <f>Disclosures!E29-Disclosures!D29</f>
        <v>114</v>
      </c>
      <c r="G70" s="7">
        <f>Disclosures!E29-Disclosures!D29</f>
        <v>114</v>
      </c>
      <c r="H70" s="7">
        <f>Disclosures!F29</f>
        <v>107</v>
      </c>
      <c r="I70" s="7">
        <f>Disclosures!F29</f>
        <v>107</v>
      </c>
      <c r="J70" s="7">
        <f>Disclosures!G29-Disclosures!F29</f>
        <v>87</v>
      </c>
      <c r="K70" s="7">
        <f>Disclosures!G29-Disclosures!F29</f>
        <v>87</v>
      </c>
      <c r="L70" s="7">
        <f>Disclosures!H29</f>
        <v>63</v>
      </c>
      <c r="M70" s="7">
        <f>Disclosures!H29</f>
        <v>63</v>
      </c>
      <c r="N70" s="7">
        <f>Disclosures!I29-Disclosures!H29</f>
        <v>131</v>
      </c>
      <c r="O70" s="7">
        <f>Disclosures!I29-Disclosures!H29</f>
        <v>131</v>
      </c>
      <c r="P70" s="7">
        <f>Disclosures!J29</f>
        <v>109</v>
      </c>
      <c r="Q70" s="7">
        <f>Disclosures!J29</f>
        <v>109</v>
      </c>
      <c r="R70" s="3"/>
      <c r="S70" s="3"/>
      <c r="T70" s="3"/>
      <c r="U70" s="3"/>
      <c r="V70" s="3"/>
      <c r="W70" s="3"/>
    </row>
    <row r="71" spans="1:23" ht="19" customHeight="1">
      <c r="A71" s="2"/>
      <c r="B71" s="2"/>
      <c r="C71" s="2" t="s">
        <v>178</v>
      </c>
      <c r="D71" s="7">
        <f>Disclosures!D30</f>
        <v>86</v>
      </c>
      <c r="E71" s="7">
        <f>Disclosures!D30</f>
        <v>86</v>
      </c>
      <c r="F71" s="7">
        <f>Disclosures!E30-Disclosures!D30</f>
        <v>93</v>
      </c>
      <c r="G71" s="7">
        <f>Disclosures!E30-Disclosures!D30</f>
        <v>93</v>
      </c>
      <c r="H71" s="7">
        <f>Disclosures!F30</f>
        <v>93</v>
      </c>
      <c r="I71" s="7">
        <f>Disclosures!F30</f>
        <v>93</v>
      </c>
      <c r="J71" s="7">
        <f>Disclosures!G30-Disclosures!F30</f>
        <v>106</v>
      </c>
      <c r="K71" s="7">
        <f>Disclosures!G30-Disclosures!F30</f>
        <v>106</v>
      </c>
      <c r="L71" s="7">
        <f>Disclosures!H30</f>
        <v>110</v>
      </c>
      <c r="M71" s="7">
        <f>Disclosures!H30</f>
        <v>110</v>
      </c>
      <c r="N71" s="7">
        <f>Disclosures!I30-Disclosures!H30</f>
        <v>105</v>
      </c>
      <c r="O71" s="7">
        <f>Disclosures!I30-Disclosures!H30</f>
        <v>105</v>
      </c>
      <c r="P71" s="7">
        <f>Disclosures!J30</f>
        <v>113</v>
      </c>
      <c r="Q71" s="7">
        <f>Disclosures!J30</f>
        <v>113</v>
      </c>
      <c r="R71" s="3"/>
      <c r="S71" s="3"/>
      <c r="T71" s="3"/>
      <c r="U71" s="3"/>
      <c r="V71" s="3"/>
      <c r="W71" s="3"/>
    </row>
    <row r="72" spans="1:23" ht="19" customHeight="1">
      <c r="A72" s="2"/>
      <c r="B72" s="2"/>
      <c r="C72" s="2" t="s">
        <v>179</v>
      </c>
      <c r="D72" s="7">
        <f>Disclosures!D26</f>
        <v>27</v>
      </c>
      <c r="E72" s="7">
        <f>Disclosures!D26</f>
        <v>27</v>
      </c>
      <c r="F72" s="7">
        <f>Disclosures!E26-Disclosures!D26</f>
        <v>31</v>
      </c>
      <c r="G72" s="7">
        <f>Disclosures!E26-Disclosures!D26</f>
        <v>31</v>
      </c>
      <c r="H72" s="7">
        <f>Disclosures!F26</f>
        <v>33</v>
      </c>
      <c r="I72" s="7">
        <f>Disclosures!F26</f>
        <v>33</v>
      </c>
      <c r="J72" s="7">
        <f>Disclosures!G26-Disclosures!F26</f>
        <v>34</v>
      </c>
      <c r="K72" s="7">
        <f>Disclosures!G26-Disclosures!F26</f>
        <v>34</v>
      </c>
      <c r="L72" s="7">
        <f>Disclosures!H26</f>
        <v>35</v>
      </c>
      <c r="M72" s="7">
        <f>Disclosures!H26</f>
        <v>35</v>
      </c>
      <c r="N72" s="7">
        <f>Disclosures!I26-Disclosures!H26</f>
        <v>38</v>
      </c>
      <c r="O72" s="7">
        <f>Disclosures!I26-Disclosures!H26</f>
        <v>38</v>
      </c>
      <c r="P72" s="7">
        <f>Disclosures!J26</f>
        <v>39</v>
      </c>
      <c r="Q72" s="7">
        <f>Disclosures!J26</f>
        <v>39</v>
      </c>
      <c r="R72" s="3"/>
      <c r="S72" s="3"/>
      <c r="T72" s="3"/>
      <c r="U72" s="3"/>
      <c r="V72" s="3"/>
      <c r="W72" s="3"/>
    </row>
    <row r="73" spans="1:23" ht="19" customHeight="1">
      <c r="A73" s="2"/>
      <c r="B73" s="2"/>
      <c r="C73" s="2" t="s">
        <v>180</v>
      </c>
      <c r="D73" s="7">
        <f>Disclosures!D25</f>
        <v>2</v>
      </c>
      <c r="E73" s="7">
        <f>Disclosures!D25</f>
        <v>2</v>
      </c>
      <c r="F73" s="7">
        <f>Disclosures!E25-Disclosures!D25</f>
        <v>3</v>
      </c>
      <c r="G73" s="7">
        <f>Disclosures!E25-Disclosures!D25</f>
        <v>3</v>
      </c>
      <c r="H73" s="7">
        <f>Disclosures!F25</f>
        <v>1</v>
      </c>
      <c r="I73" s="7">
        <f>Disclosures!F25</f>
        <v>1</v>
      </c>
      <c r="J73" s="7">
        <f>Disclosures!G25-Disclosures!F25</f>
        <v>1</v>
      </c>
      <c r="K73" s="7">
        <f>Disclosures!G25-Disclosures!F25</f>
        <v>1</v>
      </c>
      <c r="L73" s="7">
        <f>Disclosures!H25</f>
        <v>1</v>
      </c>
      <c r="M73" s="7">
        <f>Disclosures!H25</f>
        <v>1</v>
      </c>
      <c r="N73" s="7">
        <f>Disclosures!I25-Disclosures!H25</f>
        <v>1</v>
      </c>
      <c r="O73" s="7">
        <f>Disclosures!I25-Disclosures!H25</f>
        <v>1</v>
      </c>
      <c r="P73" s="7">
        <f>Disclosures!J25</f>
        <v>1</v>
      </c>
      <c r="Q73" s="7">
        <f>Disclosures!J25</f>
        <v>1</v>
      </c>
      <c r="R73" s="3"/>
      <c r="S73" s="3"/>
      <c r="T73" s="3"/>
      <c r="U73" s="3"/>
      <c r="V73" s="3"/>
      <c r="W73" s="3"/>
    </row>
    <row r="74" spans="1:23" ht="19" customHeight="1">
      <c r="A74" s="2"/>
      <c r="B74" s="2"/>
      <c r="C74" s="2" t="s">
        <v>181</v>
      </c>
      <c r="D74" s="7">
        <f>Disclosures!D31</f>
        <v>0</v>
      </c>
      <c r="E74" s="7">
        <f>Disclosures!D31</f>
        <v>0</v>
      </c>
      <c r="F74" s="7">
        <f>Disclosures!E31-Disclosures!D31</f>
        <v>2</v>
      </c>
      <c r="G74" s="7">
        <f>Disclosures!E31-Disclosures!D31</f>
        <v>2</v>
      </c>
      <c r="H74" s="7">
        <f>Disclosures!F31</f>
        <v>3</v>
      </c>
      <c r="I74" s="7">
        <f>Disclosures!F31</f>
        <v>3</v>
      </c>
      <c r="J74" s="7">
        <f>Disclosures!G31-Disclosures!F31</f>
        <v>7</v>
      </c>
      <c r="K74" s="7">
        <f>Disclosures!G31-Disclosures!F31</f>
        <v>7</v>
      </c>
      <c r="L74" s="7">
        <f>Disclosures!H31</f>
        <v>2</v>
      </c>
      <c r="M74" s="7">
        <f>Disclosures!H31</f>
        <v>2</v>
      </c>
      <c r="N74" s="7">
        <f>Disclosures!I31-Disclosures!H31</f>
        <v>5</v>
      </c>
      <c r="O74" s="7">
        <f>Disclosures!I31-Disclosures!H31</f>
        <v>5</v>
      </c>
      <c r="P74" s="7">
        <f>Disclosures!J31</f>
        <v>3</v>
      </c>
      <c r="Q74" s="7">
        <f>Disclosures!J31</f>
        <v>3</v>
      </c>
      <c r="R74" s="3"/>
      <c r="S74" s="3"/>
      <c r="T74" s="3"/>
      <c r="U74" s="3"/>
      <c r="V74" s="3"/>
      <c r="W74" s="3"/>
    </row>
    <row r="75" spans="1:23" ht="19" customHeight="1">
      <c r="A75" s="2"/>
      <c r="B75" s="2"/>
      <c r="C75" s="2" t="s">
        <v>182</v>
      </c>
      <c r="D75" s="7">
        <f>Disclosures!D32</f>
        <v>1</v>
      </c>
      <c r="E75" s="7">
        <f>Disclosures!D32</f>
        <v>1</v>
      </c>
      <c r="F75" s="7">
        <f>Disclosures!E32-Disclosures!D32</f>
        <v>8</v>
      </c>
      <c r="G75" s="7">
        <f>Disclosures!E32-Disclosures!D32</f>
        <v>8</v>
      </c>
      <c r="H75" s="7">
        <f>Disclosures!F32</f>
        <v>8</v>
      </c>
      <c r="I75" s="7">
        <f>Disclosures!F32</f>
        <v>8</v>
      </c>
      <c r="J75" s="7">
        <f>Disclosures!G32-Disclosures!F32</f>
        <v>0</v>
      </c>
      <c r="K75" s="7">
        <f>Disclosures!G32-Disclosures!F32</f>
        <v>0</v>
      </c>
      <c r="L75" s="7">
        <f>Disclosures!H32</f>
        <v>1</v>
      </c>
      <c r="M75" s="7">
        <f>Disclosures!H32</f>
        <v>1</v>
      </c>
      <c r="N75" s="7">
        <f>Disclosures!I32-Disclosures!H32</f>
        <v>6</v>
      </c>
      <c r="O75" s="7">
        <f>Disclosures!I32-Disclosures!H32</f>
        <v>6</v>
      </c>
      <c r="P75" s="7">
        <f>Disclosures!J32</f>
        <v>4</v>
      </c>
      <c r="Q75" s="7">
        <f>Disclosures!J32</f>
        <v>4</v>
      </c>
      <c r="R75" s="3"/>
      <c r="S75" s="3"/>
      <c r="T75" s="3"/>
      <c r="U75" s="3"/>
      <c r="V75" s="3"/>
      <c r="W75" s="3"/>
    </row>
    <row r="76" spans="1:23" ht="19" customHeight="1">
      <c r="A76" s="2"/>
      <c r="B76" s="2"/>
      <c r="C76" s="2" t="s">
        <v>183</v>
      </c>
      <c r="D76" s="7">
        <f>Disclosures!D33</f>
        <v>5</v>
      </c>
      <c r="E76" s="7">
        <f>Disclosures!D33</f>
        <v>5</v>
      </c>
      <c r="F76" s="7">
        <f>Disclosures!E33-Disclosures!D33</f>
        <v>7</v>
      </c>
      <c r="G76" s="7">
        <f>Disclosures!E33-Disclosures!D33</f>
        <v>7</v>
      </c>
      <c r="H76" s="7">
        <f>Disclosures!F33</f>
        <v>7</v>
      </c>
      <c r="I76" s="7">
        <f>Disclosures!F33</f>
        <v>7</v>
      </c>
      <c r="J76" s="7">
        <f>Disclosures!G33-Disclosures!F33</f>
        <v>8</v>
      </c>
      <c r="K76" s="7">
        <f>Disclosures!G33-Disclosures!F33</f>
        <v>8</v>
      </c>
      <c r="L76" s="7">
        <f>Disclosures!H33</f>
        <v>7</v>
      </c>
      <c r="M76" s="7">
        <f>Disclosures!H33</f>
        <v>7</v>
      </c>
      <c r="N76" s="7">
        <f>Disclosures!I33-Disclosures!H33</f>
        <v>4</v>
      </c>
      <c r="O76" s="7">
        <f>Disclosures!I33-Disclosures!H33</f>
        <v>4</v>
      </c>
      <c r="P76" s="7">
        <f>Disclosures!J33</f>
        <v>5</v>
      </c>
      <c r="Q76" s="7">
        <f>Disclosures!J33</f>
        <v>5</v>
      </c>
      <c r="R76" s="3"/>
      <c r="S76" s="3"/>
      <c r="T76" s="3"/>
      <c r="U76" s="3"/>
      <c r="V76" s="3"/>
      <c r="W76" s="3"/>
    </row>
    <row r="77" spans="1:23" ht="19" customHeight="1">
      <c r="A77" s="2"/>
      <c r="B77" s="2"/>
      <c r="C77" s="2" t="s">
        <v>184</v>
      </c>
      <c r="D77" s="7">
        <f>Disclosures!D34</f>
        <v>0</v>
      </c>
      <c r="E77" s="7">
        <f>Disclosures!D34</f>
        <v>0</v>
      </c>
      <c r="F77" s="7">
        <f>Disclosures!E34-Disclosures!D34</f>
        <v>1</v>
      </c>
      <c r="G77" s="7">
        <f>Disclosures!E34-Disclosures!D34</f>
        <v>1</v>
      </c>
      <c r="H77" s="7">
        <f>Disclosures!F34</f>
        <v>1</v>
      </c>
      <c r="I77" s="7">
        <f>Disclosures!F34</f>
        <v>1</v>
      </c>
      <c r="J77" s="7">
        <f>Disclosures!G34-Disclosures!F34</f>
        <v>1</v>
      </c>
      <c r="K77" s="7">
        <f>Disclosures!G34-Disclosures!F34</f>
        <v>1</v>
      </c>
      <c r="L77" s="7">
        <f>Disclosures!H34</f>
        <v>1</v>
      </c>
      <c r="M77" s="7">
        <f>Disclosures!H34</f>
        <v>1</v>
      </c>
      <c r="N77" s="7">
        <f>Disclosures!I34-Disclosures!H34</f>
        <v>1</v>
      </c>
      <c r="O77" s="7">
        <f>Disclosures!I34-Disclosures!H34</f>
        <v>1</v>
      </c>
      <c r="P77" s="7">
        <f>Disclosures!J34</f>
        <v>1</v>
      </c>
      <c r="Q77" s="7">
        <f>Disclosures!J34</f>
        <v>1</v>
      </c>
      <c r="R77" s="3"/>
      <c r="S77" s="3"/>
      <c r="T77" s="3"/>
      <c r="U77" s="3"/>
      <c r="V77" s="3"/>
      <c r="W77" s="3"/>
    </row>
    <row r="78" spans="1:23" ht="19" customHeight="1">
      <c r="A78" s="2"/>
      <c r="B78" s="2"/>
      <c r="C78" s="2" t="s">
        <v>185</v>
      </c>
      <c r="D78" s="7">
        <f>Disclosures!D35</f>
        <v>0</v>
      </c>
      <c r="E78" s="7">
        <f>Disclosures!D35</f>
        <v>0</v>
      </c>
      <c r="F78" s="7">
        <f>Disclosures!E35-Disclosures!D35</f>
        <v>0</v>
      </c>
      <c r="G78" s="7">
        <f>Disclosures!E35-Disclosures!D35</f>
        <v>0</v>
      </c>
      <c r="H78" s="7">
        <f>Disclosures!F35</f>
        <v>1</v>
      </c>
      <c r="I78" s="7">
        <f>Disclosures!F35</f>
        <v>1</v>
      </c>
      <c r="J78" s="7">
        <f>Disclosures!G35-Disclosures!F35</f>
        <v>0</v>
      </c>
      <c r="K78" s="7">
        <f>Disclosures!G35-Disclosures!F35</f>
        <v>0</v>
      </c>
      <c r="L78" s="7">
        <f>Disclosures!H35</f>
        <v>0</v>
      </c>
      <c r="M78" s="7">
        <f>Disclosures!H35</f>
        <v>0</v>
      </c>
      <c r="N78" s="7">
        <f>Disclosures!I35-Disclosures!H35</f>
        <v>1</v>
      </c>
      <c r="O78" s="7">
        <f>Disclosures!I35-Disclosures!H35</f>
        <v>1</v>
      </c>
      <c r="P78" s="7">
        <f>Disclosures!J35</f>
        <v>0</v>
      </c>
      <c r="Q78" s="7">
        <f>Disclosures!J35</f>
        <v>0</v>
      </c>
      <c r="R78" s="3"/>
      <c r="S78" s="3"/>
      <c r="T78" s="3"/>
      <c r="U78" s="3"/>
      <c r="V78" s="3"/>
      <c r="W78" s="3"/>
    </row>
    <row r="79" spans="1:23" ht="19" customHeight="1">
      <c r="A79" s="2"/>
      <c r="B79" s="2"/>
      <c r="C79" s="2" t="s">
        <v>186</v>
      </c>
      <c r="D79" s="7">
        <f>Disclosures!D39</f>
        <v>29</v>
      </c>
      <c r="E79" s="7">
        <f>Disclosures!D39</f>
        <v>29</v>
      </c>
      <c r="F79" s="7">
        <f>Disclosures!E39-Disclosures!D39</f>
        <v>40</v>
      </c>
      <c r="G79" s="7">
        <f>Disclosures!E39-Disclosures!D39</f>
        <v>40</v>
      </c>
      <c r="H79" s="7">
        <f>Disclosures!F39</f>
        <v>53</v>
      </c>
      <c r="I79" s="7">
        <f>Disclosures!F39</f>
        <v>53</v>
      </c>
      <c r="J79" s="7">
        <f>Disclosures!G39-Disclosures!F39</f>
        <v>39</v>
      </c>
      <c r="K79" s="7">
        <f>Disclosures!G39-Disclosures!F39</f>
        <v>39</v>
      </c>
      <c r="L79" s="7">
        <f>Disclosures!H39</f>
        <v>33</v>
      </c>
      <c r="M79" s="7">
        <f>Disclosures!H39</f>
        <v>33</v>
      </c>
      <c r="N79" s="7">
        <f>Disclosures!I39-Disclosures!H39</f>
        <v>53</v>
      </c>
      <c r="O79" s="7">
        <f>Disclosures!I39-Disclosures!H39</f>
        <v>53</v>
      </c>
      <c r="P79" s="7">
        <f>Disclosures!J39</f>
        <v>67</v>
      </c>
      <c r="Q79" s="7">
        <f>Disclosures!J39</f>
        <v>67</v>
      </c>
      <c r="R79" s="3"/>
      <c r="S79" s="3"/>
      <c r="T79" s="3"/>
      <c r="U79" s="3"/>
      <c r="V79" s="3"/>
      <c r="W79" s="3"/>
    </row>
    <row r="80" spans="1:23" ht="19" customHeight="1">
      <c r="A80" s="2"/>
      <c r="B80" s="2"/>
      <c r="C80" s="2" t="s">
        <v>187</v>
      </c>
      <c r="D80" s="7">
        <f>Disclosures!D38</f>
        <v>137</v>
      </c>
      <c r="E80" s="7">
        <f>Disclosures!D38</f>
        <v>137</v>
      </c>
      <c r="F80" s="7">
        <f>Disclosures!E38-Disclosures!D38</f>
        <v>203</v>
      </c>
      <c r="G80" s="7">
        <f>Disclosures!E38-Disclosures!D38</f>
        <v>203</v>
      </c>
      <c r="H80" s="7">
        <f>Disclosures!F38</f>
        <v>257</v>
      </c>
      <c r="I80" s="7">
        <f>Disclosures!F38</f>
        <v>257</v>
      </c>
      <c r="J80" s="7">
        <f>Disclosures!G38-Disclosures!F38</f>
        <v>216</v>
      </c>
      <c r="K80" s="7">
        <f>Disclosures!G38-Disclosures!F38</f>
        <v>216</v>
      </c>
      <c r="L80" s="7">
        <f>Disclosures!H38</f>
        <v>146</v>
      </c>
      <c r="M80" s="7">
        <f>Disclosures!H38</f>
        <v>146</v>
      </c>
      <c r="N80" s="7">
        <f>Disclosures!I38-Disclosures!H38</f>
        <v>261</v>
      </c>
      <c r="O80" s="7">
        <f>Disclosures!I38-Disclosures!H38</f>
        <v>261</v>
      </c>
      <c r="P80" s="7">
        <f>Disclosures!J38</f>
        <v>297</v>
      </c>
      <c r="Q80" s="7">
        <f>Disclosures!J38</f>
        <v>297</v>
      </c>
      <c r="R80" s="3"/>
      <c r="S80" s="3"/>
      <c r="T80" s="3"/>
      <c r="U80" s="3"/>
      <c r="V80" s="3"/>
      <c r="W80" s="3"/>
    </row>
    <row r="81" spans="1:23" ht="19" customHeight="1">
      <c r="A81" s="2"/>
      <c r="B81" s="2"/>
      <c r="C81" s="2" t="s">
        <v>188</v>
      </c>
      <c r="D81" s="7">
        <f>Disclosures!D41</f>
        <v>1217</v>
      </c>
      <c r="E81" s="7">
        <f>Disclosures!D41</f>
        <v>1217</v>
      </c>
      <c r="F81" s="7">
        <f>(Disclosures!E41*365-Disclosures!D41*181)/184</f>
        <v>1197.2730235326089</v>
      </c>
      <c r="G81" s="7">
        <f>(Disclosures!E41*365-Disclosures!D41*181)/184</f>
        <v>1197.2730235326089</v>
      </c>
      <c r="H81" s="7">
        <f>Disclosures!F41</f>
        <v>1192</v>
      </c>
      <c r="I81" s="7">
        <f>Disclosures!F41</f>
        <v>1192</v>
      </c>
      <c r="J81" s="7">
        <f>(Disclosures!G41*366-Disclosures!F41*182)/184</f>
        <v>1186.1834742934784</v>
      </c>
      <c r="K81" s="7">
        <f>(Disclosures!G41*366-Disclosures!F41*182)/184</f>
        <v>1186.1834742934784</v>
      </c>
      <c r="L81" s="7">
        <f>Disclosures!H41</f>
        <v>1168</v>
      </c>
      <c r="M81" s="7">
        <f>Disclosures!H41</f>
        <v>1168</v>
      </c>
      <c r="N81" s="7">
        <f>(Disclosures!I41*365-Disclosures!H41*181)/184</f>
        <v>1161.8056484782608</v>
      </c>
      <c r="O81" s="7">
        <f>(Disclosures!I41*365-Disclosures!H41*181)/184</f>
        <v>1161.8056484782608</v>
      </c>
      <c r="P81" s="7">
        <f>Disclosures!J41</f>
        <v>1153</v>
      </c>
      <c r="Q81" s="7">
        <f>Disclosures!J41</f>
        <v>1153</v>
      </c>
      <c r="R81" s="3"/>
      <c r="S81" s="3"/>
      <c r="T81" s="3"/>
      <c r="U81" s="3"/>
      <c r="V81" s="3"/>
      <c r="W81" s="3"/>
    </row>
    <row r="82" spans="1:23" ht="19" customHeight="1">
      <c r="A82" s="2"/>
      <c r="B82" s="2"/>
      <c r="C82" s="2" t="s">
        <v>189</v>
      </c>
      <c r="D82" s="7">
        <f>Disclosures!D21</f>
        <v>16</v>
      </c>
      <c r="E82" s="7">
        <f>Disclosures!D21</f>
        <v>16</v>
      </c>
      <c r="F82" s="7">
        <f>Disclosures!E21-Disclosures!D21</f>
        <v>16</v>
      </c>
      <c r="G82" s="7">
        <f>Disclosures!E21-Disclosures!D21</f>
        <v>16</v>
      </c>
      <c r="H82" s="7">
        <f>Disclosures!F21</f>
        <v>17</v>
      </c>
      <c r="I82" s="7">
        <f>Disclosures!F21</f>
        <v>17</v>
      </c>
      <c r="J82" s="7">
        <f>Disclosures!G21-Disclosures!F21</f>
        <v>21</v>
      </c>
      <c r="K82" s="7">
        <f>Disclosures!G21-Disclosures!F21</f>
        <v>21</v>
      </c>
      <c r="L82" s="7">
        <f>Disclosures!H21</f>
        <v>26</v>
      </c>
      <c r="M82" s="7">
        <f>Disclosures!H21</f>
        <v>26</v>
      </c>
      <c r="N82" s="7">
        <f>Disclosures!I21-Disclosures!H21</f>
        <v>33</v>
      </c>
      <c r="O82" s="7">
        <f>Disclosures!I21-Disclosures!H21</f>
        <v>33</v>
      </c>
      <c r="P82" s="7">
        <f>Disclosures!J21</f>
        <v>43</v>
      </c>
      <c r="Q82" s="7">
        <f>Disclosures!J21</f>
        <v>43</v>
      </c>
      <c r="R82" s="3"/>
      <c r="S82" s="3"/>
      <c r="T82" s="3"/>
      <c r="U82" s="3"/>
      <c r="V82" s="3"/>
      <c r="W82" s="3"/>
    </row>
    <row r="83" spans="1:23" ht="19" customHeight="1">
      <c r="A83" s="2"/>
      <c r="B83" s="2"/>
      <c r="C83" s="2"/>
      <c r="D83" s="3"/>
      <c r="E83" s="3"/>
      <c r="F83" s="3"/>
      <c r="G83" s="3"/>
      <c r="H83" s="3"/>
      <c r="I83" s="3"/>
      <c r="J83" s="3"/>
      <c r="K83" s="3"/>
      <c r="L83" s="3"/>
      <c r="M83" s="3"/>
      <c r="N83" s="3"/>
      <c r="O83" s="3"/>
      <c r="P83" s="3"/>
      <c r="Q83" s="3"/>
      <c r="R83" s="3"/>
      <c r="S83" s="3"/>
      <c r="T83" s="3"/>
      <c r="U83" s="3"/>
      <c r="V83" s="3"/>
      <c r="W83" s="3"/>
    </row>
    <row r="84" spans="1:23" ht="19" customHeight="1">
      <c r="A84" s="2"/>
      <c r="B84" s="2"/>
      <c r="C84" s="2"/>
      <c r="D84" s="3"/>
      <c r="E84" s="3"/>
      <c r="F84" s="3"/>
      <c r="G84" s="3"/>
      <c r="H84" s="3"/>
      <c r="I84" s="3"/>
      <c r="J84" s="3"/>
      <c r="K84" s="3"/>
      <c r="L84" s="3"/>
      <c r="M84" s="3"/>
      <c r="N84" s="3"/>
      <c r="O84" s="3"/>
      <c r="P84" s="3"/>
      <c r="Q84" s="3"/>
      <c r="R84" s="3"/>
      <c r="S84" s="3"/>
      <c r="T84" s="3"/>
      <c r="U84" s="3"/>
      <c r="V84" s="3"/>
      <c r="W84" s="3"/>
    </row>
    <row r="85" spans="1:23" ht="19" customHeight="1">
      <c r="A85" s="2"/>
      <c r="B85" s="2"/>
      <c r="C85" s="11" t="s">
        <v>190</v>
      </c>
      <c r="D85" s="12"/>
      <c r="E85" s="12"/>
      <c r="F85" s="12"/>
      <c r="G85" s="12"/>
      <c r="H85" s="12"/>
      <c r="I85" s="12"/>
      <c r="J85" s="12"/>
      <c r="K85" s="12"/>
      <c r="L85" s="12"/>
      <c r="M85" s="12"/>
      <c r="N85" s="3"/>
      <c r="O85" s="3"/>
      <c r="P85" s="3"/>
      <c r="Q85" s="3"/>
      <c r="R85" s="3"/>
      <c r="S85" s="3"/>
      <c r="T85" s="3"/>
      <c r="U85" s="3"/>
      <c r="V85" s="3"/>
      <c r="W85" s="3"/>
    </row>
    <row r="86" spans="1:23" ht="19" customHeight="1">
      <c r="A86" s="2"/>
      <c r="B86" s="2"/>
      <c r="C86" s="2"/>
      <c r="D86" s="3" t="s">
        <v>3</v>
      </c>
      <c r="E86" s="3" t="s">
        <v>4</v>
      </c>
      <c r="F86" s="3" t="s">
        <v>5</v>
      </c>
      <c r="G86" s="3" t="s">
        <v>6</v>
      </c>
      <c r="H86" s="3" t="s">
        <v>7</v>
      </c>
      <c r="I86" s="3" t="s">
        <v>8</v>
      </c>
      <c r="J86" s="3" t="s">
        <v>9</v>
      </c>
      <c r="K86" s="3" t="s">
        <v>10</v>
      </c>
      <c r="L86" s="3" t="s">
        <v>11</v>
      </c>
      <c r="M86" s="3" t="s">
        <v>12</v>
      </c>
      <c r="N86" s="3"/>
      <c r="O86" s="3"/>
      <c r="P86" s="3"/>
      <c r="Q86" s="3"/>
      <c r="R86" s="3"/>
      <c r="S86" s="3"/>
      <c r="T86" s="3"/>
      <c r="U86" s="3"/>
      <c r="V86" s="3"/>
      <c r="W86" s="3"/>
    </row>
    <row r="87" spans="1:23" ht="19" customHeight="1">
      <c r="A87" s="2"/>
      <c r="B87" s="2"/>
      <c r="C87" s="2" t="s">
        <v>130</v>
      </c>
      <c r="D87" s="3">
        <f>E17</f>
        <v>151.69999999999999</v>
      </c>
      <c r="E87" s="3">
        <f>G17</f>
        <v>167.49999999999997</v>
      </c>
      <c r="F87" s="3">
        <f>I17</f>
        <v>178.20000000000002</v>
      </c>
      <c r="G87" s="3">
        <f>K17</f>
        <v>168.60000000000002</v>
      </c>
      <c r="H87" s="3">
        <f>M17</f>
        <v>193.3</v>
      </c>
      <c r="I87" s="3">
        <f>O17</f>
        <v>227.6</v>
      </c>
      <c r="J87" s="3">
        <f>Q17</f>
        <v>253.59999999999997</v>
      </c>
      <c r="K87" s="3">
        <f>S17</f>
        <v>266.43849999999992</v>
      </c>
      <c r="L87" s="3">
        <f>U17</f>
        <v>279.92694906249989</v>
      </c>
      <c r="M87" s="3">
        <f>W17</f>
        <v>294.09825085878896</v>
      </c>
      <c r="N87" s="3"/>
      <c r="O87" s="3"/>
      <c r="P87" s="3"/>
      <c r="Q87" s="3"/>
      <c r="R87" s="3"/>
      <c r="S87" s="3"/>
      <c r="T87" s="3"/>
      <c r="U87" s="3"/>
      <c r="V87" s="3"/>
      <c r="W87" s="3"/>
    </row>
    <row r="88" spans="1:23" ht="19" customHeight="1">
      <c r="A88" s="2"/>
      <c r="B88" s="2"/>
      <c r="C88" s="2" t="s">
        <v>131</v>
      </c>
      <c r="D88" s="3">
        <f>AVERAGE(D18:E18)</f>
        <v>146.1</v>
      </c>
      <c r="E88" s="3">
        <f>AVERAGE(D18:G18)</f>
        <v>153.25</v>
      </c>
      <c r="F88" s="3">
        <f>AVERAGE(H18:I18)</f>
        <v>174.27499999999998</v>
      </c>
      <c r="G88" s="3">
        <f>AVERAGE(H18:K18)</f>
        <v>174.21249999999998</v>
      </c>
      <c r="H88" s="3">
        <f>AVERAGE(L18:M18)</f>
        <v>176.77500000000003</v>
      </c>
      <c r="I88" s="3">
        <f>AVERAGE(L18:O18)</f>
        <v>194.47500000000002</v>
      </c>
      <c r="J88" s="3">
        <f>AVERAGE(P18:Q18)</f>
        <v>234.64999999999998</v>
      </c>
      <c r="K88" s="3">
        <f>AVERAGE(P18:S18)</f>
        <v>247.31481249999996</v>
      </c>
      <c r="L88" s="3">
        <f>AVERAGE(T18:U18)</f>
        <v>273.1410935156249</v>
      </c>
      <c r="M88" s="3">
        <f>AVERAGE(T18:W18)</f>
        <v>280.05497744523916</v>
      </c>
      <c r="N88" s="3"/>
      <c r="O88" s="3"/>
      <c r="P88" s="3"/>
      <c r="Q88" s="3"/>
      <c r="R88" s="3"/>
      <c r="S88" s="3"/>
      <c r="T88" s="3"/>
      <c r="U88" s="3"/>
      <c r="V88" s="3"/>
      <c r="W88" s="3"/>
    </row>
    <row r="89" spans="1:23" ht="19" customHeight="1">
      <c r="A89" s="2"/>
      <c r="B89" s="2"/>
      <c r="C89" s="2" t="s">
        <v>123</v>
      </c>
      <c r="D89" s="3">
        <f>SUM(D11:E11)</f>
        <v>2.6</v>
      </c>
      <c r="E89" s="3">
        <f>SUM(D11:G11)</f>
        <v>3</v>
      </c>
      <c r="F89" s="3">
        <f>SUM(H11:I11)</f>
        <v>0.89999999999999991</v>
      </c>
      <c r="G89" s="3">
        <f>SUM(H11:K11)</f>
        <v>-3.3</v>
      </c>
      <c r="H89" s="3">
        <f>SUM(L11:M11)</f>
        <v>17.600000000000001</v>
      </c>
      <c r="I89" s="3">
        <f>SUM(L11:O11)</f>
        <v>28.7</v>
      </c>
      <c r="J89" s="3">
        <f>SUM(P11:Q11)</f>
        <v>7.1</v>
      </c>
      <c r="K89" s="3">
        <f>SUM(P11:S11)</f>
        <v>12.235399999999998</v>
      </c>
      <c r="L89" s="3">
        <f>SUM(T11:U11)</f>
        <v>5.3953796249999986</v>
      </c>
      <c r="M89" s="3">
        <f>SUM(T11:W11)</f>
        <v>11.063900343515622</v>
      </c>
      <c r="N89" s="3"/>
      <c r="O89" s="3"/>
      <c r="P89" s="3"/>
      <c r="Q89" s="3"/>
      <c r="R89" s="3"/>
      <c r="S89" s="3"/>
      <c r="T89" s="3"/>
      <c r="U89" s="3"/>
      <c r="V89" s="3"/>
      <c r="W89" s="3"/>
    </row>
    <row r="90" spans="1:23" ht="19" customHeight="1">
      <c r="A90" s="2"/>
      <c r="B90" s="2"/>
      <c r="C90" s="2" t="s">
        <v>124</v>
      </c>
      <c r="D90" s="3">
        <f>SUM(D12:E12)</f>
        <v>5.1000000000000005</v>
      </c>
      <c r="E90" s="3">
        <f>SUM(D12:G12)</f>
        <v>9.6999999999999993</v>
      </c>
      <c r="F90" s="3">
        <f>SUM(H12:I12)</f>
        <v>11.100000000000001</v>
      </c>
      <c r="G90" s="3">
        <f>SUM(H12:K12)</f>
        <v>10.900000000000002</v>
      </c>
      <c r="H90" s="3">
        <f>SUM(L12:M12)</f>
        <v>2.5</v>
      </c>
      <c r="I90" s="3">
        <f>SUM(L12:O12)</f>
        <v>21.4</v>
      </c>
      <c r="J90" s="3">
        <f>SUM(P12:Q12)</f>
        <v>19.8</v>
      </c>
      <c r="K90" s="3">
        <f>SUM(P12:S12)</f>
        <v>27.503099999999996</v>
      </c>
      <c r="L90" s="3">
        <f>SUM(T12:U12)</f>
        <v>8.093069437499997</v>
      </c>
      <c r="M90" s="3">
        <f>SUM(T12:W12)</f>
        <v>16.59585051527343</v>
      </c>
      <c r="N90" s="3"/>
      <c r="O90" s="3"/>
      <c r="P90" s="3"/>
      <c r="Q90" s="3"/>
      <c r="R90" s="3"/>
      <c r="S90" s="3"/>
      <c r="T90" s="3"/>
      <c r="U90" s="3"/>
      <c r="V90" s="3"/>
      <c r="W90" s="3"/>
    </row>
    <row r="91" spans="1:23" ht="19" customHeight="1">
      <c r="A91" s="2"/>
      <c r="B91" s="2"/>
      <c r="C91" s="2" t="s">
        <v>125</v>
      </c>
      <c r="D91" s="3" t="str">
        <f>IF(COUNT(D13:E13)=2,SUM(D13:E13),"n/d")</f>
        <v>n/d</v>
      </c>
      <c r="E91" s="3" t="str">
        <f>IF(COUNT(D13:G13)=4,SUM(D13:G13),"n/d")</f>
        <v>n/d</v>
      </c>
      <c r="F91" s="3">
        <f>IF(COUNT(H13:I13)=2,SUM(H13:I13),"n/d")</f>
        <v>-0.7599999999999999</v>
      </c>
      <c r="G91" s="3">
        <f>IF(COUNT(H13:K13)=4,SUM(H13:K13),"n/d")</f>
        <v>-3.7999999999999994</v>
      </c>
      <c r="H91" s="3">
        <f>IF(COUNT(L13:M13)=2,SUM(L13:M13),"n/d")</f>
        <v>4.9709677419354836</v>
      </c>
      <c r="I91" s="3">
        <f>IF(COUNT(L13:O13)=4,SUM(L13:O13),"n/d")</f>
        <v>6.6999999999999993</v>
      </c>
      <c r="J91" s="3" t="str">
        <f>IF(COUNT(P13:Q13)=2,SUM(P13:Q13),"n/d")</f>
        <v>n/d</v>
      </c>
      <c r="K91" s="3" t="str">
        <f>IF(COUNT(P13:S13)=4,SUM(P13:S13),"n/d")</f>
        <v>n/d</v>
      </c>
      <c r="L91" s="3">
        <f>IF(COUNT(T13:U13)=2,SUM(T13:U13),"n/d")</f>
        <v>0</v>
      </c>
      <c r="M91" s="3">
        <f>IF(COUNT(T13:W13)=4,SUM(T13:W13),"n/d")</f>
        <v>0</v>
      </c>
      <c r="N91" s="3"/>
      <c r="O91" s="3"/>
      <c r="P91" s="3"/>
      <c r="Q91" s="3"/>
      <c r="R91" s="3"/>
      <c r="S91" s="3"/>
      <c r="T91" s="3"/>
      <c r="U91" s="3"/>
      <c r="V91" s="3"/>
      <c r="W91" s="3"/>
    </row>
    <row r="92" spans="1:23" ht="19" customHeight="1">
      <c r="A92" s="2"/>
      <c r="B92" s="2"/>
      <c r="C92" s="2" t="s">
        <v>127</v>
      </c>
      <c r="D92" s="3">
        <f>SUM(D14:E14)</f>
        <v>0</v>
      </c>
      <c r="E92" s="3">
        <f>SUM(D14:G14)</f>
        <v>10.8</v>
      </c>
      <c r="F92" s="3">
        <f>SUM(H14:I14)</f>
        <v>0</v>
      </c>
      <c r="G92" s="3">
        <f>SUM(H14:K14)</f>
        <v>0</v>
      </c>
      <c r="H92" s="3">
        <f>SUM(L14:M14)</f>
        <v>0</v>
      </c>
      <c r="I92" s="3">
        <f>SUM(L14:O14)</f>
        <v>2.7</v>
      </c>
      <c r="J92" s="3">
        <f>SUM(P14:Q14)</f>
        <v>0</v>
      </c>
      <c r="K92" s="3">
        <f>SUM(P14:S14)</f>
        <v>0</v>
      </c>
      <c r="L92" s="3">
        <f>SUM(T14:U14)</f>
        <v>0</v>
      </c>
      <c r="M92" s="3">
        <f>SUM(T14:W14)</f>
        <v>0</v>
      </c>
      <c r="N92" s="3"/>
      <c r="O92" s="3"/>
      <c r="P92" s="3"/>
      <c r="Q92" s="3"/>
      <c r="R92" s="3"/>
      <c r="S92" s="3"/>
      <c r="T92" s="3"/>
      <c r="U92" s="3"/>
      <c r="V92" s="3"/>
      <c r="W92" s="3"/>
    </row>
    <row r="93" spans="1:23" ht="19" customHeight="1">
      <c r="A93" s="2"/>
      <c r="B93" s="2"/>
      <c r="C93" s="2" t="s">
        <v>128</v>
      </c>
      <c r="D93" s="3" t="str">
        <f>IF(COUNT(D15:E15)=2,SUM(D15:E15),"n/d")</f>
        <v>n/d</v>
      </c>
      <c r="E93" s="3" t="str">
        <f>IF(COUNT(D15:G15)=4,SUM(D15:G15),"n/d")</f>
        <v>n/d</v>
      </c>
      <c r="F93" s="3">
        <f>IF(COUNT(H15:I15)=2,SUM(H15:I15),"n/d")</f>
        <v>-1.05</v>
      </c>
      <c r="G93" s="3">
        <f>IF(COUNT(H15:K15)=4,SUM(H15:K15),"n/d")</f>
        <v>-2.1</v>
      </c>
      <c r="H93" s="3" t="str">
        <f>IF(COUNT(L15:M15)=2,SUM(L15:M15),"n/d")</f>
        <v>n/d</v>
      </c>
      <c r="I93" s="3" t="str">
        <f>IF(COUNT(L15:O15)=4,SUM(L15:O15),"n/d")</f>
        <v>n/d</v>
      </c>
      <c r="J93" s="3" t="str">
        <f>IF(COUNT(P15:Q15)=2,SUM(P15:Q15),"n/d")</f>
        <v>n/d</v>
      </c>
      <c r="K93" s="3" t="str">
        <f>IF(COUNT(P15:S15)=4,SUM(P15:S15),"n/d")</f>
        <v>n/d</v>
      </c>
      <c r="L93" s="3">
        <f>IF(COUNT(T15:U15)=2,SUM(T15:U15),"n/d")</f>
        <v>0</v>
      </c>
      <c r="M93" s="3">
        <f>IF(COUNT(T15:W15)=4,SUM(T15:W15),"n/d")</f>
        <v>0</v>
      </c>
      <c r="N93" s="3"/>
      <c r="O93" s="3"/>
      <c r="P93" s="3"/>
      <c r="Q93" s="3"/>
      <c r="R93" s="3"/>
      <c r="S93" s="3"/>
      <c r="T93" s="3"/>
      <c r="U93" s="3"/>
      <c r="V93" s="3"/>
      <c r="W93" s="3"/>
    </row>
    <row r="94" spans="1:23" ht="19" customHeight="1">
      <c r="A94" s="2"/>
      <c r="B94" s="2"/>
      <c r="C94" s="2" t="s">
        <v>129</v>
      </c>
      <c r="D94" s="3">
        <f>SUM(D16:E16)</f>
        <v>0.70000000000000007</v>
      </c>
      <c r="E94" s="3">
        <f>SUM(D16:G16)</f>
        <v>0.69999999999999885</v>
      </c>
      <c r="F94" s="3">
        <f>SUM(H16:I16)</f>
        <v>0.5099999999999999</v>
      </c>
      <c r="G94" s="3">
        <f>SUM(H16:K16)</f>
        <v>-0.60000000000000009</v>
      </c>
      <c r="H94" s="3">
        <f>SUM(L16:M16)</f>
        <v>-0.37096774193548354</v>
      </c>
      <c r="I94" s="3">
        <f>SUM(L16:O16)</f>
        <v>-0.49999999999999978</v>
      </c>
      <c r="J94" s="3">
        <f>SUM(P16:Q16)</f>
        <v>-0.9</v>
      </c>
      <c r="K94" s="3">
        <f>SUM(P16:S16)</f>
        <v>-0.9</v>
      </c>
      <c r="L94" s="3">
        <f>SUM(T16:U16)</f>
        <v>0</v>
      </c>
      <c r="M94" s="3">
        <f>SUM(T16:W16)</f>
        <v>0</v>
      </c>
      <c r="N94" s="3"/>
      <c r="O94" s="3"/>
      <c r="P94" s="3"/>
      <c r="Q94" s="3"/>
      <c r="R94" s="3"/>
      <c r="S94" s="3"/>
      <c r="T94" s="3"/>
      <c r="U94" s="3"/>
      <c r="V94" s="3"/>
      <c r="W94" s="3"/>
    </row>
    <row r="95" spans="1:23" ht="19" customHeight="1">
      <c r="A95" s="2"/>
      <c r="B95" s="2"/>
      <c r="C95" s="2" t="s">
        <v>138</v>
      </c>
      <c r="D95" s="3">
        <f>SUM(D27:E27)</f>
        <v>460</v>
      </c>
      <c r="E95" s="3">
        <f>SUM(D27:G27)</f>
        <v>963</v>
      </c>
      <c r="F95" s="3">
        <f>SUM(H27:I27)</f>
        <v>551</v>
      </c>
      <c r="G95" s="3">
        <f>SUM(H27:K27)</f>
        <v>1097</v>
      </c>
      <c r="H95" s="3">
        <f>SUM(L27:M27)</f>
        <v>516.99999999999989</v>
      </c>
      <c r="I95" s="3">
        <f>SUM(L27:O27)</f>
        <v>1076.9999999999998</v>
      </c>
      <c r="J95" s="3">
        <f>SUM(P27:Q27)</f>
        <v>627</v>
      </c>
      <c r="K95" s="3">
        <f>SUM(P27:S27)</f>
        <v>1354.9429499999997</v>
      </c>
      <c r="L95" s="3">
        <f>SUM(T27:U27)</f>
        <v>764.79506184374964</v>
      </c>
      <c r="M95" s="3">
        <f>SUM(T27:W27)</f>
        <v>1568.3078736933392</v>
      </c>
      <c r="N95" s="3"/>
      <c r="O95" s="3"/>
      <c r="P95" s="3"/>
      <c r="Q95" s="3"/>
      <c r="R95" s="3"/>
      <c r="S95" s="3"/>
      <c r="T95" s="3"/>
      <c r="U95" s="3"/>
      <c r="V95" s="3"/>
      <c r="W95" s="3"/>
    </row>
    <row r="96" spans="1:23" ht="19" customHeight="1">
      <c r="A96" s="2"/>
      <c r="B96" s="2"/>
      <c r="C96" s="2" t="s">
        <v>139</v>
      </c>
      <c r="D96" s="3">
        <f>SUM(D28:E28)</f>
        <v>32</v>
      </c>
      <c r="E96" s="3">
        <f>SUM(D28:G28)</f>
        <v>180</v>
      </c>
      <c r="F96" s="3">
        <f>SUM(H28:I28)</f>
        <v>170</v>
      </c>
      <c r="G96" s="3">
        <f>SUM(H28:K28)</f>
        <v>310</v>
      </c>
      <c r="H96" s="3">
        <f>SUM(L28:M28)</f>
        <v>67</v>
      </c>
      <c r="I96" s="3">
        <f>SUM(L28:O28)</f>
        <v>281</v>
      </c>
      <c r="J96" s="3">
        <f>SUM(P28:Q28)</f>
        <v>207</v>
      </c>
      <c r="K96" s="3">
        <f>SUM(P28:S28)</f>
        <v>421</v>
      </c>
      <c r="L96" s="3">
        <f>SUM(T28:U28)</f>
        <v>67</v>
      </c>
      <c r="M96" s="3">
        <f>SUM(T28:W28)</f>
        <v>281</v>
      </c>
      <c r="N96" s="3"/>
      <c r="O96" s="3"/>
      <c r="P96" s="3"/>
      <c r="Q96" s="3"/>
      <c r="R96" s="3"/>
      <c r="S96" s="3"/>
      <c r="T96" s="3"/>
      <c r="U96" s="3"/>
      <c r="V96" s="3"/>
      <c r="W96" s="3"/>
    </row>
    <row r="97" spans="1:23" ht="19" customHeight="1">
      <c r="A97" s="2"/>
      <c r="B97" s="2"/>
      <c r="C97" s="2" t="s">
        <v>140</v>
      </c>
      <c r="D97" s="3">
        <f>SUM(D29:E29)</f>
        <v>19</v>
      </c>
      <c r="E97" s="3">
        <f>SUM(D29:G29)</f>
        <v>48</v>
      </c>
      <c r="F97" s="3">
        <f>SUM(H29:I29)</f>
        <v>39</v>
      </c>
      <c r="G97" s="3">
        <f>SUM(H29:K29)</f>
        <v>50</v>
      </c>
      <c r="H97" s="3">
        <f>SUM(L29:M29)</f>
        <v>19</v>
      </c>
      <c r="I97" s="3">
        <f>SUM(L29:O29)</f>
        <v>38</v>
      </c>
      <c r="J97" s="3">
        <f>SUM(P29:Q29)</f>
        <v>18</v>
      </c>
      <c r="K97" s="3">
        <f>SUM(P29:S29)</f>
        <v>37</v>
      </c>
      <c r="L97" s="3">
        <f>SUM(T29:U29)</f>
        <v>19</v>
      </c>
      <c r="M97" s="3">
        <f>SUM(T29:W29)</f>
        <v>38</v>
      </c>
      <c r="N97" s="3"/>
      <c r="O97" s="3"/>
      <c r="P97" s="3"/>
      <c r="Q97" s="3"/>
      <c r="R97" s="3"/>
      <c r="S97" s="3"/>
      <c r="T97" s="3"/>
      <c r="U97" s="3"/>
      <c r="V97" s="3"/>
      <c r="W97" s="3"/>
    </row>
    <row r="98" spans="1:23" ht="19" customHeight="1">
      <c r="A98" s="2"/>
      <c r="B98" s="2"/>
      <c r="C98" s="2" t="s">
        <v>141</v>
      </c>
      <c r="D98" s="3">
        <f>SUM(D30:E30)</f>
        <v>2</v>
      </c>
      <c r="E98" s="3">
        <f>SUM(D30:G30)</f>
        <v>5</v>
      </c>
      <c r="F98" s="3">
        <f>SUM(H30:I30)</f>
        <v>1</v>
      </c>
      <c r="G98" s="3">
        <f>SUM(H30:K30)</f>
        <v>2</v>
      </c>
      <c r="H98" s="3">
        <f>SUM(L30:M30)</f>
        <v>1</v>
      </c>
      <c r="I98" s="3">
        <f>SUM(L30:O30)</f>
        <v>2</v>
      </c>
      <c r="J98" s="3">
        <f>SUM(P30:Q30)</f>
        <v>1</v>
      </c>
      <c r="K98" s="3">
        <f>SUM(P30:S30)</f>
        <v>2</v>
      </c>
      <c r="L98" s="3">
        <f>SUM(T30:U30)</f>
        <v>1</v>
      </c>
      <c r="M98" s="3">
        <f>SUM(T30:W30)</f>
        <v>2</v>
      </c>
      <c r="N98" s="3"/>
      <c r="O98" s="3"/>
      <c r="P98" s="3"/>
      <c r="Q98" s="3"/>
      <c r="R98" s="3"/>
      <c r="S98" s="3"/>
      <c r="T98" s="3"/>
      <c r="U98" s="3"/>
      <c r="V98" s="3"/>
      <c r="W98" s="3"/>
    </row>
    <row r="99" spans="1:23" ht="19" customHeight="1">
      <c r="A99" s="2"/>
      <c r="B99" s="2"/>
      <c r="C99" s="2" t="s">
        <v>142</v>
      </c>
      <c r="D99" s="3">
        <f>SUM(D31:E31)</f>
        <v>513</v>
      </c>
      <c r="E99" s="3">
        <f>SUM(D31:G31)</f>
        <v>1196</v>
      </c>
      <c r="F99" s="3">
        <f>SUM(H31:I31)</f>
        <v>761</v>
      </c>
      <c r="G99" s="3">
        <f>SUM(H31:K31)</f>
        <v>1459</v>
      </c>
      <c r="H99" s="3">
        <f>SUM(L31:M31)</f>
        <v>604</v>
      </c>
      <c r="I99" s="3">
        <f>SUM(L31:O31)</f>
        <v>1398</v>
      </c>
      <c r="J99" s="3">
        <f>SUM(P31:Q31)</f>
        <v>853</v>
      </c>
      <c r="K99" s="3">
        <f>SUM(P31:S31)</f>
        <v>1814.9429499999997</v>
      </c>
      <c r="L99" s="3">
        <f>SUM(T31:U31)</f>
        <v>851.79506184374964</v>
      </c>
      <c r="M99" s="3">
        <f>SUM(T31:W31)</f>
        <v>1889.3078736933389</v>
      </c>
      <c r="N99" s="3"/>
      <c r="O99" s="3"/>
      <c r="P99" s="3"/>
      <c r="Q99" s="3"/>
      <c r="R99" s="3"/>
      <c r="S99" s="3"/>
      <c r="T99" s="3"/>
      <c r="U99" s="3"/>
      <c r="V99" s="3"/>
      <c r="W99" s="3"/>
    </row>
    <row r="100" spans="1:23" ht="19" customHeight="1">
      <c r="A100" s="2"/>
      <c r="B100" s="2"/>
      <c r="C100" s="2" t="s">
        <v>152</v>
      </c>
      <c r="D100" s="3">
        <f>SUM(D42:E42)</f>
        <v>-370</v>
      </c>
      <c r="E100" s="3">
        <f>SUM(D42:G42)</f>
        <v>-834</v>
      </c>
      <c r="F100" s="3">
        <f>SUM(H42:I42)</f>
        <v>-487</v>
      </c>
      <c r="G100" s="3">
        <f>SUM(H42:K42)</f>
        <v>-960.00000000000011</v>
      </c>
      <c r="H100" s="3">
        <f>SUM(L42:M42)</f>
        <v>-449</v>
      </c>
      <c r="I100" s="3">
        <f>SUM(L42:O42)</f>
        <v>-970</v>
      </c>
      <c r="J100" s="3">
        <f>SUM(P42:Q42)</f>
        <v>-546</v>
      </c>
      <c r="K100" s="3">
        <f>SUM(P42:S42)</f>
        <v>-1124.4043220340709</v>
      </c>
      <c r="L100" s="3">
        <f>SUM(T42:U42)</f>
        <v>-498.5594068245066</v>
      </c>
      <c r="M100" s="3">
        <f>SUM(T42:W42)</f>
        <v>-1096.553767632043</v>
      </c>
      <c r="N100" s="3"/>
      <c r="O100" s="3"/>
      <c r="P100" s="3"/>
      <c r="Q100" s="3"/>
      <c r="R100" s="3"/>
      <c r="S100" s="3"/>
      <c r="T100" s="3"/>
      <c r="U100" s="3"/>
      <c r="V100" s="3"/>
      <c r="W100" s="3"/>
    </row>
    <row r="101" spans="1:23">
      <c r="C101" t="s">
        <v>154</v>
      </c>
      <c r="D101" s="52">
        <f>SUM(D44:E44)</f>
        <v>142.99999999999997</v>
      </c>
      <c r="E101" s="52">
        <f>SUM(D44:G44)</f>
        <v>362.00000000000006</v>
      </c>
      <c r="F101" s="52">
        <f>SUM(H44:I44)</f>
        <v>274</v>
      </c>
      <c r="G101" s="52">
        <f>SUM(H44:K44)</f>
        <v>498.99999999999994</v>
      </c>
      <c r="H101" s="52">
        <f>SUM(L44:M44)</f>
        <v>154.99999999999997</v>
      </c>
      <c r="I101" s="52">
        <f>SUM(L44:O44)</f>
        <v>428</v>
      </c>
      <c r="J101" s="52">
        <f>SUM(P44:Q44)</f>
        <v>306.99999999999994</v>
      </c>
      <c r="K101" s="52">
        <f>SUM(P44:S44)</f>
        <v>690.53862796592875</v>
      </c>
      <c r="L101" s="52">
        <f>SUM(T44:U44)</f>
        <v>353.2356550192431</v>
      </c>
      <c r="M101" s="52">
        <f>SUM(T44:W44)</f>
        <v>792.75410606129617</v>
      </c>
    </row>
    <row r="102" spans="1:23">
      <c r="C102" t="s">
        <v>160</v>
      </c>
      <c r="D102" s="52">
        <f>SUM(D51:E51)</f>
        <v>133</v>
      </c>
      <c r="E102" s="52">
        <f>SUM(D51:G51)</f>
        <v>280</v>
      </c>
      <c r="F102" s="52">
        <f>SUM(H51:I51)</f>
        <v>162.99999999999997</v>
      </c>
      <c r="G102" s="52">
        <f>SUM(H51:K51)</f>
        <v>323</v>
      </c>
      <c r="H102" s="52">
        <f>SUM(L51:M51)</f>
        <v>129.99999999999994</v>
      </c>
      <c r="I102" s="52">
        <f>SUM(L51:O51)</f>
        <v>293.99999999999994</v>
      </c>
      <c r="J102" s="52">
        <f>SUM(P51:Q51)</f>
        <v>186</v>
      </c>
      <c r="K102" s="52">
        <f>SUM(P51:S51)</f>
        <v>473.73768752705735</v>
      </c>
      <c r="L102" s="52">
        <f>SUM(T51:U51)</f>
        <v>315.03659545811456</v>
      </c>
      <c r="M102" s="52">
        <f>SUM(T51:W51)</f>
        <v>658.75410606129617</v>
      </c>
    </row>
    <row r="103" spans="1:23">
      <c r="C103" t="s">
        <v>161</v>
      </c>
      <c r="D103" s="52">
        <f>SUM(D52:E52)</f>
        <v>3.9999999999999964</v>
      </c>
      <c r="E103" s="52">
        <f>SUM(D52:G52)</f>
        <v>60.000000000000007</v>
      </c>
      <c r="F103" s="52">
        <f>SUM(H52:I52)</f>
        <v>94</v>
      </c>
      <c r="G103" s="52">
        <f>SUM(H52:K52)</f>
        <v>150</v>
      </c>
      <c r="H103" s="52">
        <f>SUM(L52:M52)</f>
        <v>16.000000000000007</v>
      </c>
      <c r="I103" s="52">
        <f>SUM(L52:O52)</f>
        <v>113</v>
      </c>
      <c r="J103" s="52">
        <f>SUM(P52:Q52)</f>
        <v>111</v>
      </c>
      <c r="K103" s="52">
        <f>SUM(P52:S52)</f>
        <v>196.03937460257254</v>
      </c>
      <c r="L103" s="52">
        <f>SUM(T52:U52)</f>
        <v>27.960625397427471</v>
      </c>
      <c r="M103" s="52">
        <f>SUM(T52:W52)</f>
        <v>113.00000000000003</v>
      </c>
    </row>
    <row r="104" spans="1:23">
      <c r="C104" t="s">
        <v>162</v>
      </c>
      <c r="D104" s="52">
        <f>SUM(D53:E53)</f>
        <v>136.99999999999997</v>
      </c>
      <c r="E104" s="52">
        <f>SUM(D53:G53)</f>
        <v>340</v>
      </c>
      <c r="F104" s="52">
        <f>SUM(H53:I53)</f>
        <v>257</v>
      </c>
      <c r="G104" s="52">
        <f>SUM(H53:K53)</f>
        <v>473</v>
      </c>
      <c r="H104" s="52">
        <f>SUM(L53:M53)</f>
        <v>145.99999999999994</v>
      </c>
      <c r="I104" s="52">
        <f>SUM(L53:O53)</f>
        <v>406.99999999999994</v>
      </c>
      <c r="J104" s="52">
        <f>SUM(P53:Q53)</f>
        <v>297</v>
      </c>
      <c r="K104" s="52">
        <f>SUM(P53:S53)</f>
        <v>669.77706212962994</v>
      </c>
      <c r="L104" s="52">
        <f>SUM(T53:U53)</f>
        <v>342.99722085554208</v>
      </c>
      <c r="M104" s="52">
        <f>SUM(T53:W53)</f>
        <v>771.75410606129628</v>
      </c>
    </row>
    <row r="105" spans="1:23">
      <c r="C105" t="s">
        <v>163</v>
      </c>
      <c r="D105" s="52">
        <f>SUM(D54:E54)</f>
        <v>-28.999999999999996</v>
      </c>
      <c r="E105" s="52">
        <f>SUM(D54:G54)</f>
        <v>-69</v>
      </c>
      <c r="F105" s="52">
        <f>SUM(H54:I54)</f>
        <v>-53</v>
      </c>
      <c r="G105" s="52">
        <f>SUM(H54:K54)</f>
        <v>-92</v>
      </c>
      <c r="H105" s="52">
        <f>SUM(L54:M54)</f>
        <v>-32.999999999999986</v>
      </c>
      <c r="I105" s="52">
        <f>SUM(L54:O54)</f>
        <v>-85.999999999999986</v>
      </c>
      <c r="J105" s="52">
        <f>SUM(P54:Q54)</f>
        <v>-67</v>
      </c>
      <c r="K105" s="52">
        <f>SUM(P54:S54)</f>
        <v>-145.76861755073261</v>
      </c>
      <c r="L105" s="52">
        <f>SUM(T54:U54)</f>
        <v>-72.476071237288977</v>
      </c>
      <c r="M105" s="52">
        <f>SUM(T54:W54)</f>
        <v>-163.07334919231323</v>
      </c>
    </row>
    <row r="106" spans="1:23">
      <c r="C106" t="s">
        <v>164</v>
      </c>
      <c r="D106" s="52">
        <f>SUM(D55:E55)</f>
        <v>107.99999999999997</v>
      </c>
      <c r="E106" s="52">
        <f>SUM(D55:G55)</f>
        <v>271</v>
      </c>
      <c r="F106" s="52">
        <f>SUM(H55:I55)</f>
        <v>203.99999999999997</v>
      </c>
      <c r="G106" s="52">
        <f>SUM(H55:K55)</f>
        <v>381</v>
      </c>
      <c r="H106" s="52">
        <f>SUM(L55:M55)</f>
        <v>112.99999999999994</v>
      </c>
      <c r="I106" s="52">
        <f>SUM(L55:O55)</f>
        <v>320.99999999999994</v>
      </c>
      <c r="J106" s="52">
        <f>SUM(P55:Q55)</f>
        <v>230.00000000000003</v>
      </c>
      <c r="K106" s="52">
        <f>SUM(P55:S55)</f>
        <v>524.0084445788973</v>
      </c>
      <c r="L106" s="52">
        <f>SUM(T55:U55)</f>
        <v>270.52114961825305</v>
      </c>
      <c r="M106" s="52">
        <f>SUM(T55:W55)</f>
        <v>608.68075686898305</v>
      </c>
    </row>
    <row r="107" spans="1:23">
      <c r="C107" t="s">
        <v>165</v>
      </c>
      <c r="D107" s="52">
        <f>(D56*90+E56*91)/181</f>
        <v>1217</v>
      </c>
      <c r="E107" s="52">
        <f>(D56*90+E56*91+F56*92+G56*92)/365</f>
        <v>1207.0554419999999</v>
      </c>
      <c r="F107" s="52">
        <f>(H56*91+I56*91)/182</f>
        <v>1192</v>
      </c>
      <c r="G107" s="52">
        <f>(H56*91+I56*91+J56*92+K56*92)/366</f>
        <v>1189.0758450000001</v>
      </c>
      <c r="H107" s="52">
        <f>(L56*90+M56*91)/181</f>
        <v>1168</v>
      </c>
      <c r="I107" s="52">
        <f>(L56*90+M56*91+N56*92+O56*92)/365</f>
        <v>1164.8773679999999</v>
      </c>
      <c r="J107" s="52">
        <f>(P56*90+Q56*91)/181</f>
        <v>1153</v>
      </c>
      <c r="K107" s="52">
        <f>(P56*90+Q56*91+R56*92+S56*92)/365</f>
        <v>1158.9874951013699</v>
      </c>
      <c r="L107" s="52">
        <f>(T56*90+U56*91)/181</f>
        <v>1164.8773679999999</v>
      </c>
      <c r="M107" s="52">
        <f>(T56*90+U56*91+V56*92+W56*92)/365</f>
        <v>1164.8773679999999</v>
      </c>
    </row>
    <row r="108" spans="1:23">
      <c r="C108" t="s">
        <v>32</v>
      </c>
      <c r="D108" s="53">
        <f>D106/D107*Assumptions!$D$61</f>
        <v>8.8742810188989285</v>
      </c>
      <c r="E108" s="53">
        <f>E106/E107*Assumptions!$D$61</f>
        <v>22.451329953077668</v>
      </c>
      <c r="F108" s="53">
        <f>F106/F107*Assumptions!$D$61</f>
        <v>17.114093959731541</v>
      </c>
      <c r="G108" s="53">
        <f>G106/G107*Assumptions!$D$61</f>
        <v>32.041690326322289</v>
      </c>
      <c r="H108" s="53">
        <f>H106/H107*Assumptions!$D$61</f>
        <v>9.6746575342465704</v>
      </c>
      <c r="I108" s="53">
        <f>I106/I107*Assumptions!$D$61</f>
        <v>27.55654876797297</v>
      </c>
      <c r="J108" s="53">
        <f>J106/J107*Assumptions!$D$61</f>
        <v>19.947961838681703</v>
      </c>
      <c r="K108" s="53">
        <f>K106/K107*Assumptions!$D$61</f>
        <v>45.212605553873153</v>
      </c>
      <c r="L108" s="53">
        <f>L106/L107*Assumptions!$D$61</f>
        <v>23.223144087923689</v>
      </c>
      <c r="M108" s="53">
        <f>M106/M107*Assumptions!$D$61</f>
        <v>52.252775578775179</v>
      </c>
    </row>
    <row r="109" spans="1:23">
      <c r="C109" t="s">
        <v>137</v>
      </c>
      <c r="D109" s="54">
        <f>D95/D88/Assumptions!$D$49*Assumptions!$D$60/0.5</f>
        <v>62.970568104038328</v>
      </c>
      <c r="E109" s="54">
        <f>E95/E88/Assumptions!$D$49*Assumptions!$D$60/1</f>
        <v>62.838499184339312</v>
      </c>
      <c r="F109" s="54">
        <f>F95/F88/Assumptions!$D$49*Assumptions!$D$60/0.5</f>
        <v>63.233395495624734</v>
      </c>
      <c r="G109" s="54">
        <f>G95/G88/Assumptions!$D$49*Assumptions!$D$60/1</f>
        <v>62.969075123771269</v>
      </c>
      <c r="H109" s="54">
        <f>H95/H88/Assumptions!$D$49*Assumptions!$D$60/0.5</f>
        <v>58.492433884881883</v>
      </c>
      <c r="I109" s="54">
        <f>I95/I88/Assumptions!$D$49*Assumptions!$D$60/1</f>
        <v>55.379868877747761</v>
      </c>
      <c r="J109" s="54">
        <f>J95/J88/Assumptions!$D$49*Assumptions!$D$60/0.5</f>
        <v>53.441295546558713</v>
      </c>
      <c r="K109" s="54">
        <f>K95/K88/Assumptions!$D$49*Assumptions!$D$60/1</f>
        <v>54.786162474599045</v>
      </c>
      <c r="L109" s="54">
        <f>L95/L88/Assumptions!$D$49*Assumptions!$D$60/0.5</f>
        <v>56</v>
      </c>
      <c r="M109" s="54">
        <f>M95/M88/Assumptions!$D$49*Assumptions!$D$60/1</f>
        <v>56</v>
      </c>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6A3AF"/>
  </sheetPr>
  <dimension ref="A1:W130"/>
  <sheetViews>
    <sheetView showGridLines="0" workbookViewId="0">
      <pane xSplit="3" ySplit="8" topLeftCell="D9" activePane="bottomRight" state="frozen"/>
      <selection pane="topRight"/>
      <selection pane="bottomLeft"/>
      <selection pane="bottomRight" activeCell="D9" sqref="D9"/>
    </sheetView>
  </sheetViews>
  <sheetFormatPr baseColWidth="10" defaultColWidth="8.83203125" defaultRowHeight="14"/>
  <cols>
    <col min="1" max="2" width="2" customWidth="1"/>
    <col min="3" max="3" width="48" customWidth="1"/>
    <col min="4" max="23" width="13" customWidth="1"/>
  </cols>
  <sheetData>
    <row r="1" spans="1:23" ht="19" customHeight="1">
      <c r="A1" s="2"/>
      <c r="B1" s="2"/>
      <c r="C1" s="2"/>
      <c r="D1" s="3"/>
      <c r="E1" s="3"/>
      <c r="F1" s="3"/>
      <c r="G1" s="3"/>
      <c r="H1" s="3"/>
      <c r="I1" s="3"/>
      <c r="J1" s="3"/>
      <c r="K1" s="3"/>
      <c r="L1" s="3"/>
      <c r="M1" s="3"/>
      <c r="N1" s="3"/>
      <c r="O1" s="3"/>
      <c r="P1" s="3"/>
      <c r="Q1" s="3"/>
      <c r="R1" s="3"/>
      <c r="S1" s="3"/>
      <c r="T1" s="3"/>
      <c r="U1" s="3"/>
      <c r="V1" s="3"/>
      <c r="W1" s="3"/>
    </row>
    <row r="2" spans="1:23" ht="19" customHeight="1">
      <c r="A2" s="2"/>
      <c r="B2" s="2"/>
      <c r="C2" s="4" t="s">
        <v>191</v>
      </c>
      <c r="D2" s="3"/>
      <c r="E2" s="3"/>
      <c r="F2" s="3"/>
      <c r="G2" s="3"/>
      <c r="H2" s="3"/>
      <c r="I2" s="3"/>
      <c r="J2" s="3"/>
      <c r="K2" s="3"/>
      <c r="L2" s="3"/>
      <c r="M2" s="3"/>
      <c r="N2" s="3"/>
      <c r="O2" s="3"/>
      <c r="P2" s="3"/>
      <c r="Q2" s="3"/>
      <c r="R2" s="3"/>
      <c r="S2" s="3"/>
      <c r="T2" s="3"/>
      <c r="U2" s="3"/>
      <c r="V2" s="3"/>
      <c r="W2" s="3"/>
    </row>
    <row r="3" spans="1:23" ht="19" customHeight="1">
      <c r="A3" s="2"/>
      <c r="B3" s="2"/>
      <c r="C3" s="5"/>
      <c r="D3" s="6"/>
      <c r="E3" s="6"/>
      <c r="F3" s="6"/>
      <c r="G3" s="6"/>
      <c r="H3" s="6"/>
      <c r="I3" s="6"/>
      <c r="J3" s="6"/>
      <c r="K3" s="6"/>
      <c r="L3" s="3"/>
      <c r="M3" s="3"/>
      <c r="N3" s="3"/>
      <c r="O3" s="3"/>
      <c r="P3" s="3"/>
      <c r="Q3" s="3"/>
      <c r="R3" s="3"/>
      <c r="S3" s="3"/>
      <c r="T3" s="3"/>
      <c r="U3" s="3"/>
      <c r="V3" s="3"/>
      <c r="W3" s="3"/>
    </row>
    <row r="4" spans="1:23" ht="19" customHeight="1">
      <c r="A4" s="2"/>
      <c r="B4" s="2"/>
      <c r="C4" s="2" t="s">
        <v>1</v>
      </c>
      <c r="D4" s="8" t="str">
        <f>Assumptions!$E$4</f>
        <v>Base</v>
      </c>
      <c r="E4" s="9"/>
      <c r="F4" s="10"/>
      <c r="G4" s="3"/>
      <c r="H4" s="3"/>
      <c r="I4" s="3"/>
      <c r="J4" s="3"/>
      <c r="K4" s="3"/>
      <c r="L4" s="3"/>
      <c r="M4" s="3"/>
      <c r="N4" s="3"/>
      <c r="O4" s="3"/>
      <c r="P4" s="3"/>
      <c r="Q4" s="3"/>
      <c r="R4" s="3"/>
      <c r="S4" s="3"/>
      <c r="T4" s="3"/>
      <c r="U4" s="3"/>
      <c r="V4" s="3"/>
      <c r="W4" s="3"/>
    </row>
    <row r="5" spans="1:23" ht="19" customHeight="1">
      <c r="A5" s="2"/>
      <c r="B5" s="2"/>
      <c r="C5" s="2" t="s">
        <v>192</v>
      </c>
      <c r="D5" s="3"/>
      <c r="E5" s="3"/>
      <c r="F5" s="3"/>
      <c r="G5" s="3"/>
      <c r="H5" s="3"/>
      <c r="I5" s="3"/>
      <c r="J5" s="3"/>
      <c r="K5" s="3"/>
      <c r="L5" s="3"/>
      <c r="M5" s="3"/>
      <c r="N5" s="3"/>
      <c r="O5" s="3"/>
      <c r="P5" s="3"/>
      <c r="Q5" s="3"/>
      <c r="R5" s="3"/>
      <c r="S5" s="3"/>
      <c r="T5" s="3"/>
      <c r="U5" s="3"/>
      <c r="V5" s="3"/>
      <c r="W5" s="3"/>
    </row>
    <row r="6" spans="1:23" ht="19" customHeight="1">
      <c r="A6" s="2"/>
      <c r="B6" s="2"/>
      <c r="C6" s="2"/>
      <c r="D6" s="3"/>
      <c r="E6" s="3"/>
      <c r="F6" s="3"/>
      <c r="G6" s="3"/>
      <c r="H6" s="3"/>
      <c r="I6" s="3"/>
      <c r="J6" s="3"/>
      <c r="K6" s="3"/>
      <c r="L6" s="3"/>
      <c r="M6" s="3"/>
      <c r="N6" s="3"/>
      <c r="O6" s="3"/>
      <c r="P6" s="3"/>
      <c r="Q6" s="3"/>
      <c r="R6" s="3"/>
      <c r="S6" s="3"/>
      <c r="T6" s="3"/>
      <c r="U6" s="3"/>
      <c r="V6" s="3"/>
      <c r="W6" s="3"/>
    </row>
    <row r="7" spans="1:23" ht="19" customHeight="1">
      <c r="A7" s="2"/>
      <c r="B7" s="2"/>
      <c r="C7" s="11" t="s">
        <v>193</v>
      </c>
      <c r="D7" s="12"/>
      <c r="E7" s="12"/>
      <c r="F7" s="12"/>
      <c r="G7" s="12"/>
      <c r="H7" s="12"/>
      <c r="I7" s="12"/>
      <c r="J7" s="12"/>
      <c r="K7" s="12"/>
      <c r="L7" s="12"/>
      <c r="M7" s="12"/>
      <c r="N7" s="12"/>
      <c r="O7" s="12"/>
      <c r="P7" s="12"/>
      <c r="Q7" s="12"/>
      <c r="R7" s="3"/>
      <c r="S7" s="3"/>
      <c r="T7" s="3"/>
      <c r="U7" s="3"/>
      <c r="V7" s="3"/>
      <c r="W7" s="3"/>
    </row>
    <row r="8" spans="1:23" ht="19" customHeight="1">
      <c r="A8" s="2"/>
      <c r="B8" s="2"/>
      <c r="C8" s="2"/>
      <c r="D8" s="58" t="s">
        <v>62</v>
      </c>
      <c r="E8" s="58" t="s">
        <v>63</v>
      </c>
      <c r="F8" s="58" t="s">
        <v>64</v>
      </c>
      <c r="G8" s="58" t="s">
        <v>65</v>
      </c>
      <c r="H8" s="58" t="s">
        <v>66</v>
      </c>
      <c r="I8" s="58" t="s">
        <v>67</v>
      </c>
      <c r="J8" s="58" t="s">
        <v>68</v>
      </c>
      <c r="K8" s="58" t="s">
        <v>69</v>
      </c>
      <c r="L8" s="58" t="s">
        <v>70</v>
      </c>
      <c r="M8" s="58" t="s">
        <v>71</v>
      </c>
      <c r="N8" s="58" t="s">
        <v>72</v>
      </c>
      <c r="O8" s="58" t="s">
        <v>73</v>
      </c>
      <c r="P8" s="58" t="s">
        <v>74</v>
      </c>
      <c r="Q8" s="58" t="s">
        <v>75</v>
      </c>
      <c r="R8" s="59"/>
      <c r="S8" s="59"/>
      <c r="T8" s="59"/>
      <c r="U8" s="59"/>
      <c r="V8" s="59"/>
      <c r="W8" s="59"/>
    </row>
    <row r="9" spans="1:23" ht="19" customHeight="1">
      <c r="A9" s="2"/>
      <c r="B9" s="2"/>
      <c r="C9" s="2" t="s">
        <v>194</v>
      </c>
      <c r="D9" s="13">
        <v>143.30000000000001</v>
      </c>
      <c r="E9" s="13">
        <v>144.69999999999999</v>
      </c>
      <c r="F9" s="13">
        <v>151.69999999999999</v>
      </c>
      <c r="G9" s="13">
        <v>161.19999999999999</v>
      </c>
      <c r="H9" s="13">
        <v>167.5</v>
      </c>
      <c r="I9" s="13">
        <v>175.7</v>
      </c>
      <c r="J9" s="13">
        <v>178.2</v>
      </c>
      <c r="K9" s="13">
        <v>174.9</v>
      </c>
      <c r="L9" s="13">
        <v>168.6</v>
      </c>
      <c r="M9" s="13">
        <v>172.6</v>
      </c>
      <c r="N9" s="13">
        <v>193.3</v>
      </c>
      <c r="O9" s="13">
        <v>213.9</v>
      </c>
      <c r="P9" s="13">
        <v>227.6</v>
      </c>
      <c r="Q9" s="13">
        <v>228.7</v>
      </c>
      <c r="R9" s="3"/>
      <c r="S9" s="3"/>
      <c r="T9" s="3"/>
      <c r="U9" s="3"/>
      <c r="V9" s="3"/>
      <c r="W9" s="3"/>
    </row>
    <row r="10" spans="1:23" ht="19" customHeight="1">
      <c r="A10" s="2"/>
      <c r="B10" s="2"/>
      <c r="C10" s="2" t="s">
        <v>123</v>
      </c>
      <c r="D10" s="13">
        <v>1.1000000000000001</v>
      </c>
      <c r="E10" s="13">
        <v>1.5</v>
      </c>
      <c r="F10" s="13">
        <v>0.7</v>
      </c>
      <c r="G10" s="13">
        <v>-0.3</v>
      </c>
      <c r="H10" s="13">
        <v>-1.6</v>
      </c>
      <c r="I10" s="13">
        <v>2.5</v>
      </c>
      <c r="J10" s="13">
        <v>-5.5</v>
      </c>
      <c r="K10" s="13">
        <v>1.3</v>
      </c>
      <c r="L10" s="13">
        <v>3.6</v>
      </c>
      <c r="M10" s="13">
        <v>14</v>
      </c>
      <c r="N10" s="13">
        <v>9.6999999999999993</v>
      </c>
      <c r="O10" s="13">
        <v>1.4</v>
      </c>
      <c r="P10" s="13">
        <v>-1.6</v>
      </c>
      <c r="Q10" s="13">
        <v>8.6999999999999993</v>
      </c>
      <c r="R10" s="3"/>
      <c r="S10" s="3"/>
      <c r="T10" s="3"/>
      <c r="U10" s="3"/>
      <c r="V10" s="3"/>
      <c r="W10" s="3"/>
    </row>
    <row r="11" spans="1:23" ht="19" customHeight="1">
      <c r="A11" s="2"/>
      <c r="B11" s="2"/>
      <c r="C11" s="2" t="s">
        <v>124</v>
      </c>
      <c r="D11" s="13">
        <v>0.7</v>
      </c>
      <c r="E11" s="13">
        <v>4.4000000000000004</v>
      </c>
      <c r="F11" s="13">
        <v>0.1</v>
      </c>
      <c r="G11" s="13">
        <v>4.5</v>
      </c>
      <c r="H11" s="13">
        <v>9.8000000000000007</v>
      </c>
      <c r="I11" s="13">
        <v>1.3</v>
      </c>
      <c r="J11" s="13">
        <v>0.4</v>
      </c>
      <c r="K11" s="13">
        <v>-0.6</v>
      </c>
      <c r="L11" s="13">
        <v>-1.1000000000000001</v>
      </c>
      <c r="M11" s="13">
        <v>3.6</v>
      </c>
      <c r="N11" s="13">
        <v>10</v>
      </c>
      <c r="O11" s="13">
        <v>8.9</v>
      </c>
      <c r="P11" s="13">
        <v>3.1</v>
      </c>
      <c r="Q11" s="13">
        <v>16.7</v>
      </c>
      <c r="R11" s="3"/>
      <c r="S11" s="3"/>
      <c r="T11" s="3"/>
      <c r="U11" s="3"/>
      <c r="V11" s="3"/>
      <c r="W11" s="3"/>
    </row>
    <row r="12" spans="1:23" ht="19" customHeight="1">
      <c r="A12" s="2"/>
      <c r="B12" s="2"/>
      <c r="C12" s="2" t="s">
        <v>195</v>
      </c>
      <c r="D12" s="13">
        <v>-0.4</v>
      </c>
      <c r="E12" s="13">
        <v>1.1000000000000001</v>
      </c>
      <c r="F12" s="13">
        <v>8.6999999999999993</v>
      </c>
      <c r="G12" s="13">
        <v>2.1</v>
      </c>
      <c r="H12" s="13">
        <v>0</v>
      </c>
      <c r="I12" s="13">
        <v>-1.3</v>
      </c>
      <c r="J12" s="13">
        <v>1.8</v>
      </c>
      <c r="K12" s="13">
        <v>-7</v>
      </c>
      <c r="L12" s="13">
        <v>1.5</v>
      </c>
      <c r="M12" s="13">
        <v>3.1</v>
      </c>
      <c r="N12" s="13">
        <v>0.9</v>
      </c>
      <c r="O12" s="13">
        <v>3.4</v>
      </c>
      <c r="P12" s="13">
        <v>-0.4</v>
      </c>
      <c r="Q12" s="13">
        <v>-0.5</v>
      </c>
      <c r="R12" s="3"/>
      <c r="S12" s="3"/>
      <c r="T12" s="3"/>
      <c r="U12" s="3"/>
      <c r="V12" s="3"/>
      <c r="W12" s="3"/>
    </row>
    <row r="13" spans="1:23" ht="19" customHeight="1">
      <c r="A13" s="2"/>
      <c r="B13" s="2"/>
      <c r="C13" s="2" t="s">
        <v>196</v>
      </c>
      <c r="D13" s="13">
        <v>144.69999999999999</v>
      </c>
      <c r="E13" s="13">
        <v>151.69999999999999</v>
      </c>
      <c r="F13" s="13">
        <v>161.19999999999999</v>
      </c>
      <c r="G13" s="13">
        <v>167.5</v>
      </c>
      <c r="H13" s="13">
        <v>175.7</v>
      </c>
      <c r="I13" s="13">
        <v>178.2</v>
      </c>
      <c r="J13" s="13">
        <v>174.9</v>
      </c>
      <c r="K13" s="13">
        <v>168.6</v>
      </c>
      <c r="L13" s="13">
        <v>172.6</v>
      </c>
      <c r="M13" s="13">
        <v>193.3</v>
      </c>
      <c r="N13" s="13">
        <v>213.9</v>
      </c>
      <c r="O13" s="13">
        <v>227.6</v>
      </c>
      <c r="P13" s="13">
        <v>228.7</v>
      </c>
      <c r="Q13" s="13">
        <v>253.6</v>
      </c>
      <c r="R13" s="3"/>
      <c r="S13" s="3"/>
      <c r="T13" s="3"/>
      <c r="U13" s="3"/>
      <c r="V13" s="3"/>
      <c r="W13" s="3"/>
    </row>
    <row r="14" spans="1:23" ht="19" customHeight="1">
      <c r="A14" s="2"/>
      <c r="B14" s="2"/>
      <c r="C14" s="2" t="s">
        <v>197</v>
      </c>
      <c r="D14" s="13">
        <v>0</v>
      </c>
      <c r="E14" s="13">
        <v>0</v>
      </c>
      <c r="F14" s="13">
        <v>10.8</v>
      </c>
      <c r="G14" s="13">
        <v>0</v>
      </c>
      <c r="H14" s="13">
        <v>0</v>
      </c>
      <c r="I14" s="13">
        <v>0</v>
      </c>
      <c r="J14" s="13">
        <v>0</v>
      </c>
      <c r="K14" s="13">
        <v>0</v>
      </c>
      <c r="L14" s="13">
        <v>0</v>
      </c>
      <c r="M14" s="13">
        <v>0</v>
      </c>
      <c r="N14" s="13">
        <v>0</v>
      </c>
      <c r="O14" s="13">
        <v>2.7</v>
      </c>
      <c r="P14" s="13">
        <v>0</v>
      </c>
      <c r="Q14" s="13">
        <v>0</v>
      </c>
      <c r="R14" s="3"/>
      <c r="S14" s="3"/>
      <c r="T14" s="3"/>
      <c r="U14" s="3"/>
      <c r="V14" s="3"/>
      <c r="W14" s="3"/>
    </row>
    <row r="15" spans="1:23" ht="19" customHeight="1">
      <c r="A15" s="2"/>
      <c r="B15" s="2"/>
      <c r="C15" s="2" t="s">
        <v>198</v>
      </c>
      <c r="D15" s="3" t="s">
        <v>199</v>
      </c>
      <c r="E15" s="3" t="s">
        <v>200</v>
      </c>
      <c r="F15" s="3" t="s">
        <v>201</v>
      </c>
      <c r="G15" s="3" t="s">
        <v>202</v>
      </c>
      <c r="H15" s="3" t="s">
        <v>203</v>
      </c>
      <c r="I15" s="3" t="s">
        <v>204</v>
      </c>
      <c r="J15" s="3" t="s">
        <v>205</v>
      </c>
      <c r="K15" s="3" t="s">
        <v>206</v>
      </c>
      <c r="L15" s="3" t="s">
        <v>207</v>
      </c>
      <c r="M15" s="3" t="s">
        <v>208</v>
      </c>
      <c r="N15" s="3" t="s">
        <v>209</v>
      </c>
      <c r="O15" s="3" t="s">
        <v>210</v>
      </c>
      <c r="P15" s="3" t="s">
        <v>211</v>
      </c>
      <c r="Q15" s="3" t="s">
        <v>212</v>
      </c>
      <c r="R15" s="3"/>
      <c r="S15" s="3"/>
      <c r="T15" s="3"/>
      <c r="U15" s="3"/>
      <c r="V15" s="3"/>
      <c r="W15" s="3"/>
    </row>
    <row r="16" spans="1:23" ht="19" customHeight="1">
      <c r="A16" s="2"/>
      <c r="B16" s="2"/>
      <c r="C16" s="2"/>
      <c r="D16" s="3"/>
      <c r="E16" s="3"/>
      <c r="F16" s="3"/>
      <c r="G16" s="3"/>
      <c r="H16" s="3"/>
      <c r="I16" s="3"/>
      <c r="J16" s="3"/>
      <c r="K16" s="3"/>
      <c r="L16" s="3"/>
      <c r="M16" s="3"/>
      <c r="N16" s="3"/>
      <c r="O16" s="3"/>
      <c r="P16" s="3"/>
      <c r="Q16" s="3"/>
      <c r="R16" s="3"/>
      <c r="S16" s="3"/>
      <c r="T16" s="3"/>
      <c r="U16" s="3"/>
      <c r="V16" s="3"/>
      <c r="W16" s="3"/>
    </row>
    <row r="17" spans="1:23" ht="19" customHeight="1">
      <c r="A17" s="2"/>
      <c r="B17" s="2"/>
      <c r="C17" s="2"/>
      <c r="D17" s="3"/>
      <c r="E17" s="3"/>
      <c r="F17" s="3"/>
      <c r="G17" s="3"/>
      <c r="H17" s="3"/>
      <c r="I17" s="3"/>
      <c r="J17" s="3"/>
      <c r="K17" s="3"/>
      <c r="L17" s="3"/>
      <c r="M17" s="3"/>
      <c r="N17" s="3"/>
      <c r="O17" s="3"/>
      <c r="P17" s="3"/>
      <c r="Q17" s="3"/>
      <c r="R17" s="3"/>
      <c r="S17" s="3"/>
      <c r="T17" s="3"/>
      <c r="U17" s="3"/>
      <c r="V17" s="3"/>
      <c r="W17" s="3"/>
    </row>
    <row r="18" spans="1:23" ht="19" customHeight="1">
      <c r="A18" s="2"/>
      <c r="B18" s="2"/>
      <c r="C18" s="11" t="s">
        <v>213</v>
      </c>
      <c r="D18" s="12"/>
      <c r="E18" s="12"/>
      <c r="F18" s="12"/>
      <c r="G18" s="12"/>
      <c r="H18" s="12"/>
      <c r="I18" s="12"/>
      <c r="J18" s="12"/>
      <c r="K18" s="3"/>
      <c r="L18" s="3"/>
      <c r="M18" s="3"/>
      <c r="N18" s="3"/>
      <c r="O18" s="3"/>
      <c r="P18" s="3"/>
      <c r="Q18" s="3"/>
      <c r="R18" s="3"/>
      <c r="S18" s="3"/>
      <c r="T18" s="3"/>
      <c r="U18" s="3"/>
      <c r="V18" s="3"/>
      <c r="W18" s="3"/>
    </row>
    <row r="19" spans="1:23" ht="19" customHeight="1">
      <c r="A19" s="2"/>
      <c r="B19" s="2"/>
      <c r="C19" s="2"/>
      <c r="D19" s="58" t="s">
        <v>3</v>
      </c>
      <c r="E19" s="58" t="s">
        <v>4</v>
      </c>
      <c r="F19" s="58" t="s">
        <v>5</v>
      </c>
      <c r="G19" s="58" t="s">
        <v>6</v>
      </c>
      <c r="H19" s="58" t="s">
        <v>7</v>
      </c>
      <c r="I19" s="58" t="s">
        <v>8</v>
      </c>
      <c r="J19" s="58" t="s">
        <v>9</v>
      </c>
      <c r="K19" s="3"/>
      <c r="L19" s="3"/>
      <c r="M19" s="3"/>
      <c r="N19" s="3"/>
      <c r="O19" s="3"/>
      <c r="P19" s="3"/>
      <c r="Q19" s="3"/>
      <c r="R19" s="3"/>
      <c r="S19" s="3"/>
      <c r="T19" s="3"/>
      <c r="U19" s="3"/>
      <c r="V19" s="3"/>
      <c r="W19" s="3"/>
    </row>
    <row r="20" spans="1:23" ht="19" customHeight="1">
      <c r="A20" s="2"/>
      <c r="B20" s="2"/>
      <c r="C20" s="2" t="s">
        <v>214</v>
      </c>
      <c r="D20" s="13">
        <v>476</v>
      </c>
      <c r="E20" s="13">
        <v>995</v>
      </c>
      <c r="F20" s="13">
        <v>568</v>
      </c>
      <c r="G20" s="13">
        <v>1135</v>
      </c>
      <c r="H20" s="13">
        <v>543</v>
      </c>
      <c r="I20" s="13">
        <v>1136</v>
      </c>
      <c r="J20" s="13">
        <v>670</v>
      </c>
      <c r="K20" s="3"/>
      <c r="L20" s="3"/>
      <c r="M20" s="3"/>
      <c r="N20" s="3"/>
      <c r="O20" s="3"/>
      <c r="P20" s="3"/>
      <c r="Q20" s="3"/>
      <c r="R20" s="3"/>
      <c r="S20" s="3"/>
      <c r="T20" s="3"/>
      <c r="U20" s="3"/>
      <c r="V20" s="3"/>
      <c r="W20" s="3"/>
    </row>
    <row r="21" spans="1:23" ht="19" customHeight="1">
      <c r="A21" s="2"/>
      <c r="B21" s="2"/>
      <c r="C21" s="2" t="s">
        <v>215</v>
      </c>
      <c r="D21" s="13">
        <v>16</v>
      </c>
      <c r="E21" s="13">
        <v>32</v>
      </c>
      <c r="F21" s="13">
        <v>17</v>
      </c>
      <c r="G21" s="13">
        <v>38</v>
      </c>
      <c r="H21" s="13">
        <v>26</v>
      </c>
      <c r="I21" s="13">
        <v>59</v>
      </c>
      <c r="J21" s="13">
        <v>43</v>
      </c>
      <c r="K21" s="3"/>
      <c r="L21" s="3"/>
      <c r="M21" s="3"/>
      <c r="N21" s="3"/>
      <c r="O21" s="3"/>
      <c r="P21" s="3"/>
      <c r="Q21" s="3"/>
      <c r="R21" s="3"/>
      <c r="S21" s="3"/>
      <c r="T21" s="3"/>
      <c r="U21" s="3"/>
      <c r="V21" s="3"/>
      <c r="W21" s="3"/>
    </row>
    <row r="22" spans="1:23" ht="19" customHeight="1">
      <c r="A22" s="2"/>
      <c r="B22" s="2"/>
      <c r="C22" s="2" t="s">
        <v>216</v>
      </c>
      <c r="D22" s="13">
        <v>460</v>
      </c>
      <c r="E22" s="13">
        <v>963</v>
      </c>
      <c r="F22" s="13">
        <v>551</v>
      </c>
      <c r="G22" s="13">
        <v>1097</v>
      </c>
      <c r="H22" s="13">
        <v>517</v>
      </c>
      <c r="I22" s="13">
        <v>1077</v>
      </c>
      <c r="J22" s="13">
        <v>627</v>
      </c>
      <c r="K22" s="3"/>
      <c r="L22" s="3"/>
      <c r="M22" s="3"/>
      <c r="N22" s="3"/>
      <c r="O22" s="3"/>
      <c r="P22" s="3"/>
      <c r="Q22" s="3"/>
      <c r="R22" s="3"/>
      <c r="S22" s="3"/>
      <c r="T22" s="3"/>
      <c r="U22" s="3"/>
      <c r="V22" s="3"/>
      <c r="W22" s="3"/>
    </row>
    <row r="23" spans="1:23" ht="19" customHeight="1">
      <c r="A23" s="2"/>
      <c r="B23" s="2"/>
      <c r="C23" s="2" t="s">
        <v>217</v>
      </c>
      <c r="D23" s="13">
        <v>32</v>
      </c>
      <c r="E23" s="13">
        <v>180</v>
      </c>
      <c r="F23" s="13">
        <v>170</v>
      </c>
      <c r="G23" s="13">
        <v>310</v>
      </c>
      <c r="H23" s="13">
        <v>67</v>
      </c>
      <c r="I23" s="13">
        <v>281</v>
      </c>
      <c r="J23" s="13">
        <v>207</v>
      </c>
      <c r="K23" s="3"/>
      <c r="L23" s="3"/>
      <c r="M23" s="3"/>
      <c r="N23" s="3"/>
      <c r="O23" s="3"/>
      <c r="P23" s="3"/>
      <c r="Q23" s="3"/>
      <c r="R23" s="3"/>
      <c r="S23" s="3"/>
      <c r="T23" s="3"/>
      <c r="U23" s="3"/>
      <c r="V23" s="3"/>
      <c r="W23" s="3"/>
    </row>
    <row r="24" spans="1:23" ht="19" customHeight="1">
      <c r="A24" s="2"/>
      <c r="B24" s="2"/>
      <c r="C24" s="2" t="s">
        <v>218</v>
      </c>
      <c r="D24" s="13">
        <v>19</v>
      </c>
      <c r="E24" s="13">
        <v>48</v>
      </c>
      <c r="F24" s="13">
        <v>39</v>
      </c>
      <c r="G24" s="13">
        <v>50</v>
      </c>
      <c r="H24" s="13">
        <v>19</v>
      </c>
      <c r="I24" s="13">
        <v>38</v>
      </c>
      <c r="J24" s="13">
        <v>18</v>
      </c>
      <c r="K24" s="3"/>
      <c r="L24" s="3"/>
      <c r="M24" s="3"/>
      <c r="N24" s="3"/>
      <c r="O24" s="3"/>
      <c r="P24" s="3"/>
      <c r="Q24" s="3"/>
      <c r="R24" s="3"/>
      <c r="S24" s="3"/>
      <c r="T24" s="3"/>
      <c r="U24" s="3"/>
      <c r="V24" s="3"/>
      <c r="W24" s="3"/>
    </row>
    <row r="25" spans="1:23" ht="19" customHeight="1">
      <c r="A25" s="2"/>
      <c r="B25" s="2"/>
      <c r="C25" s="2" t="s">
        <v>219</v>
      </c>
      <c r="D25" s="13">
        <v>2</v>
      </c>
      <c r="E25" s="13">
        <v>5</v>
      </c>
      <c r="F25" s="13">
        <v>1</v>
      </c>
      <c r="G25" s="13">
        <v>2</v>
      </c>
      <c r="H25" s="13">
        <v>1</v>
      </c>
      <c r="I25" s="13">
        <v>2</v>
      </c>
      <c r="J25" s="13">
        <v>1</v>
      </c>
      <c r="K25" s="3"/>
      <c r="L25" s="3"/>
      <c r="M25" s="3"/>
      <c r="N25" s="3"/>
      <c r="O25" s="3"/>
      <c r="P25" s="3"/>
      <c r="Q25" s="3"/>
      <c r="R25" s="3"/>
      <c r="S25" s="3"/>
      <c r="T25" s="3"/>
      <c r="U25" s="3"/>
      <c r="V25" s="3"/>
      <c r="W25" s="3"/>
    </row>
    <row r="26" spans="1:23" ht="19" customHeight="1">
      <c r="A26" s="2"/>
      <c r="B26" s="2"/>
      <c r="C26" s="2" t="s">
        <v>149</v>
      </c>
      <c r="D26" s="13">
        <v>27</v>
      </c>
      <c r="E26" s="13">
        <v>58</v>
      </c>
      <c r="F26" s="13">
        <v>33</v>
      </c>
      <c r="G26" s="13">
        <v>67</v>
      </c>
      <c r="H26" s="13">
        <v>35</v>
      </c>
      <c r="I26" s="13">
        <v>73</v>
      </c>
      <c r="J26" s="13">
        <v>39</v>
      </c>
      <c r="K26" s="3"/>
      <c r="L26" s="3"/>
      <c r="M26" s="3"/>
      <c r="N26" s="3"/>
      <c r="O26" s="3"/>
      <c r="P26" s="3"/>
      <c r="Q26" s="3"/>
      <c r="R26" s="3"/>
      <c r="S26" s="3"/>
      <c r="T26" s="3"/>
      <c r="U26" s="3"/>
      <c r="V26" s="3"/>
      <c r="W26" s="3"/>
    </row>
    <row r="27" spans="1:23" ht="19" customHeight="1">
      <c r="A27" s="2"/>
      <c r="B27" s="2"/>
      <c r="C27" s="2" t="s">
        <v>144</v>
      </c>
      <c r="D27" s="13">
        <v>118</v>
      </c>
      <c r="E27" s="13">
        <v>239</v>
      </c>
      <c r="F27" s="13">
        <v>134</v>
      </c>
      <c r="G27" s="13">
        <v>264</v>
      </c>
      <c r="H27" s="13">
        <v>141</v>
      </c>
      <c r="I27" s="13">
        <v>274</v>
      </c>
      <c r="J27" s="13">
        <v>143</v>
      </c>
      <c r="K27" s="3"/>
      <c r="L27" s="3"/>
      <c r="M27" s="3"/>
      <c r="N27" s="3"/>
      <c r="O27" s="3"/>
      <c r="P27" s="3"/>
      <c r="Q27" s="3"/>
      <c r="R27" s="3"/>
      <c r="S27" s="3"/>
      <c r="T27" s="3"/>
      <c r="U27" s="3"/>
      <c r="V27" s="3"/>
      <c r="W27" s="3"/>
    </row>
    <row r="28" spans="1:23" ht="19" customHeight="1">
      <c r="A28" s="2"/>
      <c r="B28" s="2"/>
      <c r="C28" s="2" t="s">
        <v>220</v>
      </c>
      <c r="D28" s="13">
        <v>215</v>
      </c>
      <c r="E28" s="13">
        <v>439</v>
      </c>
      <c r="F28" s="13">
        <v>251</v>
      </c>
      <c r="G28" s="13">
        <v>490</v>
      </c>
      <c r="H28" s="13">
        <v>239</v>
      </c>
      <c r="I28" s="13">
        <v>481</v>
      </c>
      <c r="J28" s="13">
        <v>282</v>
      </c>
      <c r="K28" s="3"/>
      <c r="L28" s="3"/>
      <c r="M28" s="3"/>
      <c r="N28" s="3"/>
      <c r="O28" s="3"/>
      <c r="P28" s="3"/>
      <c r="Q28" s="3"/>
      <c r="R28" s="3"/>
      <c r="S28" s="3"/>
      <c r="T28" s="3"/>
      <c r="U28" s="3"/>
      <c r="V28" s="3"/>
      <c r="W28" s="3"/>
    </row>
    <row r="29" spans="1:23" ht="19" customHeight="1">
      <c r="A29" s="2"/>
      <c r="B29" s="2"/>
      <c r="C29" s="2" t="s">
        <v>221</v>
      </c>
      <c r="D29" s="13">
        <v>42</v>
      </c>
      <c r="E29" s="13">
        <v>156</v>
      </c>
      <c r="F29" s="13">
        <v>107</v>
      </c>
      <c r="G29" s="13">
        <v>194</v>
      </c>
      <c r="H29" s="13">
        <v>63</v>
      </c>
      <c r="I29" s="13">
        <v>194</v>
      </c>
      <c r="J29" s="13">
        <v>109</v>
      </c>
      <c r="K29" s="3"/>
      <c r="L29" s="3"/>
      <c r="M29" s="3"/>
      <c r="N29" s="3"/>
      <c r="O29" s="3"/>
      <c r="P29" s="3"/>
      <c r="Q29" s="3"/>
      <c r="R29" s="3"/>
      <c r="S29" s="3"/>
      <c r="T29" s="3"/>
      <c r="U29" s="3"/>
      <c r="V29" s="3"/>
      <c r="W29" s="3"/>
    </row>
    <row r="30" spans="1:23" ht="19" customHeight="1">
      <c r="A30" s="2"/>
      <c r="B30" s="2"/>
      <c r="C30" s="2" t="s">
        <v>222</v>
      </c>
      <c r="D30" s="13">
        <v>86</v>
      </c>
      <c r="E30" s="13">
        <v>179</v>
      </c>
      <c r="F30" s="13">
        <v>93</v>
      </c>
      <c r="G30" s="13">
        <v>199</v>
      </c>
      <c r="H30" s="13">
        <v>110</v>
      </c>
      <c r="I30" s="13">
        <v>215</v>
      </c>
      <c r="J30" s="13">
        <v>113</v>
      </c>
      <c r="K30" s="3"/>
      <c r="L30" s="3"/>
      <c r="M30" s="3"/>
      <c r="N30" s="3"/>
      <c r="O30" s="3"/>
      <c r="P30" s="3"/>
      <c r="Q30" s="3"/>
      <c r="R30" s="3"/>
      <c r="S30" s="3"/>
      <c r="T30" s="3"/>
      <c r="U30" s="3"/>
      <c r="V30" s="3"/>
      <c r="W30" s="3"/>
    </row>
    <row r="31" spans="1:23" ht="19" customHeight="1">
      <c r="A31" s="2"/>
      <c r="B31" s="2"/>
      <c r="C31" s="2" t="s">
        <v>223</v>
      </c>
      <c r="D31" s="13">
        <v>0</v>
      </c>
      <c r="E31" s="13">
        <v>2</v>
      </c>
      <c r="F31" s="13">
        <v>3</v>
      </c>
      <c r="G31" s="13">
        <v>10</v>
      </c>
      <c r="H31" s="13">
        <v>2</v>
      </c>
      <c r="I31" s="13">
        <v>7</v>
      </c>
      <c r="J31" s="13">
        <v>3</v>
      </c>
      <c r="K31" s="3"/>
      <c r="L31" s="3"/>
      <c r="M31" s="3"/>
      <c r="N31" s="3"/>
      <c r="O31" s="3"/>
      <c r="P31" s="3"/>
      <c r="Q31" s="3"/>
      <c r="R31" s="3"/>
      <c r="S31" s="3"/>
      <c r="T31" s="3"/>
      <c r="U31" s="3"/>
      <c r="V31" s="3"/>
      <c r="W31" s="3"/>
    </row>
    <row r="32" spans="1:23" ht="19" customHeight="1">
      <c r="A32" s="2"/>
      <c r="B32" s="2"/>
      <c r="C32" s="2" t="s">
        <v>224</v>
      </c>
      <c r="D32" s="13">
        <v>1</v>
      </c>
      <c r="E32" s="13">
        <v>9</v>
      </c>
      <c r="F32" s="13">
        <v>8</v>
      </c>
      <c r="G32" s="13">
        <v>8</v>
      </c>
      <c r="H32" s="13">
        <v>1</v>
      </c>
      <c r="I32" s="13">
        <v>7</v>
      </c>
      <c r="J32" s="13">
        <v>4</v>
      </c>
      <c r="K32" s="3"/>
      <c r="L32" s="3"/>
      <c r="M32" s="3"/>
      <c r="N32" s="3"/>
      <c r="O32" s="3"/>
      <c r="P32" s="3"/>
      <c r="Q32" s="3"/>
      <c r="R32" s="3"/>
      <c r="S32" s="3"/>
      <c r="T32" s="3"/>
      <c r="U32" s="3"/>
      <c r="V32" s="3"/>
      <c r="W32" s="3"/>
    </row>
    <row r="33" spans="1:23" ht="19" customHeight="1">
      <c r="A33" s="2"/>
      <c r="B33" s="2"/>
      <c r="C33" s="2" t="s">
        <v>225</v>
      </c>
      <c r="D33" s="13">
        <v>5</v>
      </c>
      <c r="E33" s="13">
        <v>12</v>
      </c>
      <c r="F33" s="13">
        <v>7</v>
      </c>
      <c r="G33" s="13">
        <v>15</v>
      </c>
      <c r="H33" s="13">
        <v>7</v>
      </c>
      <c r="I33" s="13">
        <v>11</v>
      </c>
      <c r="J33" s="13">
        <v>5</v>
      </c>
      <c r="K33" s="3"/>
      <c r="L33" s="3"/>
      <c r="M33" s="3"/>
      <c r="N33" s="3"/>
      <c r="O33" s="3"/>
      <c r="P33" s="3"/>
      <c r="Q33" s="3"/>
      <c r="R33" s="3"/>
      <c r="S33" s="3"/>
      <c r="T33" s="3"/>
      <c r="U33" s="3"/>
      <c r="V33" s="3"/>
      <c r="W33" s="3"/>
    </row>
    <row r="34" spans="1:23" ht="19" customHeight="1">
      <c r="A34" s="2"/>
      <c r="B34" s="2"/>
      <c r="C34" s="2" t="s">
        <v>158</v>
      </c>
      <c r="D34" s="13">
        <v>0</v>
      </c>
      <c r="E34" s="13">
        <v>1</v>
      </c>
      <c r="F34" s="13">
        <v>1</v>
      </c>
      <c r="G34" s="13">
        <v>2</v>
      </c>
      <c r="H34" s="13">
        <v>1</v>
      </c>
      <c r="I34" s="13">
        <v>2</v>
      </c>
      <c r="J34" s="13">
        <v>1</v>
      </c>
      <c r="K34" s="3"/>
      <c r="L34" s="3"/>
      <c r="M34" s="3"/>
      <c r="N34" s="3"/>
      <c r="O34" s="3"/>
      <c r="P34" s="3"/>
      <c r="Q34" s="3"/>
      <c r="R34" s="3"/>
      <c r="S34" s="3"/>
      <c r="T34" s="3"/>
      <c r="U34" s="3"/>
      <c r="V34" s="3"/>
      <c r="W34" s="3"/>
    </row>
    <row r="35" spans="1:23" ht="19" customHeight="1">
      <c r="A35" s="2"/>
      <c r="B35" s="2"/>
      <c r="C35" s="2" t="s">
        <v>159</v>
      </c>
      <c r="D35" s="13">
        <v>0</v>
      </c>
      <c r="E35" s="13">
        <v>0</v>
      </c>
      <c r="F35" s="13">
        <v>1</v>
      </c>
      <c r="G35" s="13">
        <v>1</v>
      </c>
      <c r="H35" s="13">
        <v>0</v>
      </c>
      <c r="I35" s="13">
        <v>1</v>
      </c>
      <c r="J35" s="13">
        <v>0</v>
      </c>
      <c r="K35" s="3"/>
      <c r="L35" s="3"/>
      <c r="M35" s="3"/>
      <c r="N35" s="3"/>
      <c r="O35" s="3"/>
      <c r="P35" s="3"/>
      <c r="Q35" s="3"/>
      <c r="R35" s="3"/>
      <c r="S35" s="3"/>
      <c r="T35" s="3"/>
      <c r="U35" s="3"/>
      <c r="V35" s="3"/>
      <c r="W35" s="3"/>
    </row>
    <row r="36" spans="1:23" ht="19" customHeight="1">
      <c r="A36" s="2"/>
      <c r="B36" s="2"/>
      <c r="C36" s="2" t="s">
        <v>226</v>
      </c>
      <c r="D36" s="13">
        <v>133</v>
      </c>
      <c r="E36" s="13">
        <v>280</v>
      </c>
      <c r="F36" s="13">
        <v>163</v>
      </c>
      <c r="G36" s="13">
        <v>323</v>
      </c>
      <c r="H36" s="13">
        <v>130</v>
      </c>
      <c r="I36" s="13">
        <v>294</v>
      </c>
      <c r="J36" s="13">
        <v>186</v>
      </c>
      <c r="K36" s="3"/>
      <c r="L36" s="3"/>
      <c r="M36" s="3"/>
      <c r="N36" s="3"/>
      <c r="O36" s="3"/>
      <c r="P36" s="3"/>
      <c r="Q36" s="3"/>
      <c r="R36" s="3"/>
      <c r="S36" s="3"/>
      <c r="T36" s="3"/>
      <c r="U36" s="3"/>
      <c r="V36" s="3"/>
      <c r="W36" s="3"/>
    </row>
    <row r="37" spans="1:23" ht="19" customHeight="1">
      <c r="A37" s="2"/>
      <c r="B37" s="2"/>
      <c r="C37" s="2" t="s">
        <v>227</v>
      </c>
      <c r="D37" s="13">
        <v>4</v>
      </c>
      <c r="E37" s="13">
        <v>60</v>
      </c>
      <c r="F37" s="13">
        <v>94</v>
      </c>
      <c r="G37" s="13">
        <v>150</v>
      </c>
      <c r="H37" s="13">
        <v>16</v>
      </c>
      <c r="I37" s="13">
        <v>113</v>
      </c>
      <c r="J37" s="13">
        <v>111</v>
      </c>
      <c r="K37" s="3"/>
      <c r="L37" s="3"/>
      <c r="M37" s="3"/>
      <c r="N37" s="3"/>
      <c r="O37" s="3"/>
      <c r="P37" s="3"/>
      <c r="Q37" s="3"/>
      <c r="R37" s="3"/>
      <c r="S37" s="3"/>
      <c r="T37" s="3"/>
      <c r="U37" s="3"/>
      <c r="V37" s="3"/>
      <c r="W37" s="3"/>
    </row>
    <row r="38" spans="1:23" ht="19" customHeight="1">
      <c r="A38" s="2"/>
      <c r="B38" s="2"/>
      <c r="C38" s="2" t="s">
        <v>228</v>
      </c>
      <c r="D38" s="13">
        <v>137</v>
      </c>
      <c r="E38" s="13">
        <v>340</v>
      </c>
      <c r="F38" s="13">
        <v>257</v>
      </c>
      <c r="G38" s="13">
        <v>473</v>
      </c>
      <c r="H38" s="13">
        <v>146</v>
      </c>
      <c r="I38" s="13">
        <v>407</v>
      </c>
      <c r="J38" s="13">
        <v>297</v>
      </c>
      <c r="K38" s="3"/>
      <c r="L38" s="3"/>
      <c r="M38" s="3"/>
      <c r="N38" s="3"/>
      <c r="O38" s="3"/>
      <c r="P38" s="3"/>
      <c r="Q38" s="3"/>
      <c r="R38" s="3"/>
      <c r="S38" s="3"/>
      <c r="T38" s="3"/>
      <c r="U38" s="3"/>
      <c r="V38" s="3"/>
      <c r="W38" s="3"/>
    </row>
    <row r="39" spans="1:23" ht="19" customHeight="1">
      <c r="A39" s="2"/>
      <c r="B39" s="2"/>
      <c r="C39" s="2" t="s">
        <v>163</v>
      </c>
      <c r="D39" s="13">
        <v>29</v>
      </c>
      <c r="E39" s="13">
        <v>69</v>
      </c>
      <c r="F39" s="13">
        <v>53</v>
      </c>
      <c r="G39" s="13">
        <v>92</v>
      </c>
      <c r="H39" s="13">
        <v>33</v>
      </c>
      <c r="I39" s="13">
        <v>86</v>
      </c>
      <c r="J39" s="13">
        <v>67</v>
      </c>
      <c r="K39" s="3"/>
      <c r="L39" s="3"/>
      <c r="M39" s="3"/>
      <c r="N39" s="3"/>
      <c r="O39" s="3"/>
      <c r="P39" s="3"/>
      <c r="Q39" s="3"/>
      <c r="R39" s="3"/>
      <c r="S39" s="3"/>
      <c r="T39" s="3"/>
      <c r="U39" s="3"/>
      <c r="V39" s="3"/>
      <c r="W39" s="3"/>
    </row>
    <row r="40" spans="1:23" ht="19" customHeight="1">
      <c r="A40" s="2"/>
      <c r="B40" s="2"/>
      <c r="C40" s="2" t="s">
        <v>164</v>
      </c>
      <c r="D40" s="13">
        <v>108</v>
      </c>
      <c r="E40" s="13">
        <v>271</v>
      </c>
      <c r="F40" s="13">
        <v>204</v>
      </c>
      <c r="G40" s="13">
        <v>381</v>
      </c>
      <c r="H40" s="13">
        <v>113</v>
      </c>
      <c r="I40" s="13">
        <v>321</v>
      </c>
      <c r="J40" s="13">
        <v>230</v>
      </c>
      <c r="K40" s="3"/>
      <c r="L40" s="3"/>
      <c r="M40" s="3"/>
      <c r="N40" s="3"/>
      <c r="O40" s="3"/>
      <c r="P40" s="3"/>
      <c r="Q40" s="3"/>
      <c r="R40" s="3"/>
      <c r="S40" s="3"/>
      <c r="T40" s="3"/>
      <c r="U40" s="3"/>
      <c r="V40" s="3"/>
      <c r="W40" s="3"/>
    </row>
    <row r="41" spans="1:23" ht="19" customHeight="1">
      <c r="A41" s="2"/>
      <c r="B41" s="2"/>
      <c r="C41" s="2" t="s">
        <v>165</v>
      </c>
      <c r="D41" s="14">
        <v>1217</v>
      </c>
      <c r="E41" s="14">
        <v>1207.0554420000001</v>
      </c>
      <c r="F41" s="14">
        <v>1192</v>
      </c>
      <c r="G41" s="14">
        <v>1189.0758450000001</v>
      </c>
      <c r="H41" s="14">
        <v>1168</v>
      </c>
      <c r="I41" s="14">
        <v>1164.8773679999999</v>
      </c>
      <c r="J41" s="14">
        <v>1153</v>
      </c>
      <c r="K41" s="3"/>
      <c r="L41" s="3"/>
      <c r="M41" s="3"/>
      <c r="N41" s="3"/>
      <c r="O41" s="3"/>
      <c r="P41" s="3"/>
      <c r="Q41" s="3"/>
      <c r="R41" s="3"/>
      <c r="S41" s="3"/>
      <c r="T41" s="3"/>
      <c r="U41" s="3"/>
      <c r="V41" s="3"/>
      <c r="W41" s="3"/>
    </row>
    <row r="42" spans="1:23" ht="19" customHeight="1">
      <c r="A42" s="2"/>
      <c r="B42" s="2"/>
      <c r="C42" s="2" t="s">
        <v>229</v>
      </c>
      <c r="D42" s="15">
        <v>8.9</v>
      </c>
      <c r="E42" s="15">
        <v>22.4</v>
      </c>
      <c r="F42" s="15">
        <v>17.100000000000001</v>
      </c>
      <c r="G42" s="15">
        <v>32.1</v>
      </c>
      <c r="H42" s="15">
        <v>9.6999999999999993</v>
      </c>
      <c r="I42" s="15">
        <v>27.6</v>
      </c>
      <c r="J42" s="15">
        <v>19.899999999999999</v>
      </c>
      <c r="K42" s="3"/>
      <c r="L42" s="3"/>
      <c r="M42" s="3"/>
      <c r="N42" s="3"/>
      <c r="O42" s="3"/>
      <c r="P42" s="3"/>
      <c r="Q42" s="3"/>
      <c r="R42" s="3"/>
      <c r="S42" s="3"/>
      <c r="T42" s="3"/>
      <c r="U42" s="3"/>
      <c r="V42" s="3"/>
      <c r="W42" s="3"/>
    </row>
    <row r="43" spans="1:23" ht="19" customHeight="1">
      <c r="A43" s="2"/>
      <c r="B43" s="2"/>
      <c r="C43" s="2" t="s">
        <v>230</v>
      </c>
      <c r="D43" s="13">
        <v>83</v>
      </c>
      <c r="E43" s="13">
        <v>234</v>
      </c>
      <c r="F43" s="13">
        <v>164</v>
      </c>
      <c r="G43" s="13">
        <v>298</v>
      </c>
      <c r="H43" s="13">
        <v>51</v>
      </c>
      <c r="I43" s="13">
        <v>175</v>
      </c>
      <c r="J43" s="13">
        <v>201</v>
      </c>
      <c r="K43" s="3"/>
      <c r="L43" s="3"/>
      <c r="M43" s="3"/>
      <c r="N43" s="3"/>
      <c r="O43" s="3"/>
      <c r="P43" s="3"/>
      <c r="Q43" s="3"/>
      <c r="R43" s="3"/>
      <c r="S43" s="3"/>
      <c r="T43" s="3"/>
      <c r="U43" s="3"/>
      <c r="V43" s="3"/>
      <c r="W43" s="3"/>
    </row>
    <row r="44" spans="1:23" ht="19" customHeight="1">
      <c r="A44" s="2"/>
      <c r="B44" s="2"/>
      <c r="C44" s="2" t="s">
        <v>231</v>
      </c>
      <c r="D44" s="13">
        <v>6.8</v>
      </c>
      <c r="E44" s="13">
        <v>19.399999999999999</v>
      </c>
      <c r="F44" s="13">
        <v>13.8</v>
      </c>
      <c r="G44" s="13">
        <v>25.1</v>
      </c>
      <c r="H44" s="13">
        <v>4.4000000000000004</v>
      </c>
      <c r="I44" s="13">
        <v>15</v>
      </c>
      <c r="J44" s="13">
        <v>17.5</v>
      </c>
      <c r="K44" s="3"/>
      <c r="L44" s="3"/>
      <c r="M44" s="3"/>
      <c r="N44" s="3"/>
      <c r="O44" s="3"/>
      <c r="P44" s="3"/>
      <c r="Q44" s="3"/>
      <c r="R44" s="3"/>
      <c r="S44" s="3"/>
      <c r="T44" s="3"/>
      <c r="U44" s="3"/>
      <c r="V44" s="3"/>
      <c r="W44" s="3"/>
    </row>
    <row r="45" spans="1:23" ht="19" customHeight="1">
      <c r="A45" s="2"/>
      <c r="B45" s="2"/>
      <c r="C45" s="2" t="s">
        <v>232</v>
      </c>
      <c r="D45" s="62" t="s">
        <v>126</v>
      </c>
      <c r="E45" s="62">
        <v>63</v>
      </c>
      <c r="F45" s="62" t="s">
        <v>126</v>
      </c>
      <c r="G45" s="62">
        <v>63</v>
      </c>
      <c r="H45" s="62" t="s">
        <v>126</v>
      </c>
      <c r="I45" s="62">
        <v>56</v>
      </c>
      <c r="J45" s="62">
        <v>52</v>
      </c>
      <c r="K45" s="3"/>
      <c r="L45" s="3"/>
      <c r="M45" s="3"/>
      <c r="N45" s="3"/>
      <c r="O45" s="3"/>
      <c r="P45" s="3"/>
      <c r="Q45" s="3"/>
      <c r="R45" s="3"/>
      <c r="S45" s="3"/>
      <c r="T45" s="3"/>
      <c r="U45" s="3"/>
      <c r="V45" s="3"/>
      <c r="W45" s="3"/>
    </row>
    <row r="46" spans="1:23" ht="19" customHeight="1">
      <c r="A46" s="2"/>
      <c r="B46" s="2"/>
      <c r="C46" s="2" t="s">
        <v>233</v>
      </c>
      <c r="D46" s="3" t="s">
        <v>200</v>
      </c>
      <c r="E46" s="3" t="s">
        <v>202</v>
      </c>
      <c r="F46" s="3" t="s">
        <v>204</v>
      </c>
      <c r="G46" s="3" t="s">
        <v>206</v>
      </c>
      <c r="H46" s="3" t="s">
        <v>208</v>
      </c>
      <c r="I46" s="3" t="s">
        <v>210</v>
      </c>
      <c r="J46" s="3" t="s">
        <v>212</v>
      </c>
      <c r="K46" s="3"/>
      <c r="L46" s="3"/>
      <c r="M46" s="3"/>
      <c r="N46" s="3"/>
      <c r="O46" s="3"/>
      <c r="P46" s="3"/>
      <c r="Q46" s="3"/>
      <c r="R46" s="3"/>
      <c r="S46" s="3"/>
      <c r="T46" s="3"/>
      <c r="U46" s="3"/>
      <c r="V46" s="3"/>
      <c r="W46" s="3"/>
    </row>
    <row r="47" spans="1:23" ht="19" customHeight="1">
      <c r="A47" s="2"/>
      <c r="B47" s="2"/>
      <c r="C47" s="2"/>
      <c r="D47" s="3"/>
      <c r="E47" s="3"/>
      <c r="F47" s="3"/>
      <c r="G47" s="3"/>
      <c r="H47" s="3"/>
      <c r="I47" s="3"/>
      <c r="J47" s="3"/>
      <c r="K47" s="3"/>
      <c r="L47" s="3"/>
      <c r="M47" s="3"/>
      <c r="N47" s="3"/>
      <c r="O47" s="3"/>
      <c r="P47" s="3"/>
      <c r="Q47" s="3"/>
      <c r="R47" s="3"/>
      <c r="S47" s="3"/>
      <c r="T47" s="3"/>
      <c r="U47" s="3"/>
      <c r="V47" s="3"/>
      <c r="W47" s="3"/>
    </row>
    <row r="48" spans="1:23" ht="19" customHeight="1">
      <c r="A48" s="2"/>
      <c r="B48" s="2"/>
      <c r="C48" s="2"/>
      <c r="D48" s="3"/>
      <c r="E48" s="3"/>
      <c r="F48" s="3"/>
      <c r="G48" s="3"/>
      <c r="H48" s="3"/>
      <c r="I48" s="3"/>
      <c r="J48" s="3"/>
      <c r="K48" s="3"/>
      <c r="L48" s="3"/>
      <c r="M48" s="3"/>
      <c r="N48" s="3"/>
      <c r="O48" s="3"/>
      <c r="P48" s="3"/>
      <c r="Q48" s="3"/>
      <c r="R48" s="3"/>
      <c r="S48" s="3"/>
      <c r="T48" s="3"/>
      <c r="U48" s="3"/>
      <c r="V48" s="3"/>
      <c r="W48" s="3"/>
    </row>
    <row r="49" spans="1:23" ht="19" customHeight="1">
      <c r="A49" s="2"/>
      <c r="B49" s="2"/>
      <c r="C49" s="11" t="s">
        <v>234</v>
      </c>
      <c r="D49" s="12"/>
      <c r="E49" s="12"/>
      <c r="F49" s="12"/>
      <c r="G49" s="12"/>
      <c r="H49" s="3"/>
      <c r="I49" s="3"/>
      <c r="J49" s="3"/>
      <c r="K49" s="3"/>
      <c r="L49" s="3"/>
      <c r="M49" s="3"/>
      <c r="N49" s="3"/>
      <c r="O49" s="3"/>
      <c r="P49" s="3"/>
      <c r="Q49" s="3"/>
      <c r="R49" s="3"/>
      <c r="S49" s="3"/>
      <c r="T49" s="3"/>
      <c r="U49" s="3"/>
      <c r="V49" s="3"/>
      <c r="W49" s="3"/>
    </row>
    <row r="50" spans="1:23" ht="19" customHeight="1">
      <c r="A50" s="2"/>
      <c r="B50" s="2"/>
      <c r="C50" s="2"/>
      <c r="D50" s="3" t="s">
        <v>4</v>
      </c>
      <c r="E50" s="3" t="s">
        <v>6</v>
      </c>
      <c r="F50" s="3" t="s">
        <v>8</v>
      </c>
      <c r="G50" s="3"/>
      <c r="H50" s="3"/>
      <c r="I50" s="3"/>
      <c r="J50" s="3"/>
      <c r="K50" s="3"/>
      <c r="L50" s="3"/>
      <c r="M50" s="3"/>
      <c r="N50" s="3"/>
      <c r="O50" s="3"/>
      <c r="P50" s="3"/>
      <c r="Q50" s="3"/>
      <c r="R50" s="3"/>
      <c r="S50" s="3"/>
      <c r="T50" s="3"/>
      <c r="U50" s="3"/>
      <c r="V50" s="3"/>
      <c r="W50" s="3"/>
    </row>
    <row r="51" spans="1:23" ht="19" customHeight="1">
      <c r="A51" s="2"/>
      <c r="B51" s="2"/>
      <c r="C51" s="2" t="s">
        <v>235</v>
      </c>
      <c r="D51" s="13" t="s">
        <v>126</v>
      </c>
      <c r="E51" s="13">
        <v>-3.8</v>
      </c>
      <c r="F51" s="13">
        <v>6.7</v>
      </c>
      <c r="G51" s="3"/>
      <c r="H51" s="3"/>
      <c r="I51" s="3"/>
      <c r="J51" s="3"/>
      <c r="K51" s="3"/>
      <c r="L51" s="3"/>
      <c r="M51" s="3"/>
      <c r="N51" s="3"/>
      <c r="O51" s="3"/>
      <c r="P51" s="3"/>
      <c r="Q51" s="3"/>
      <c r="R51" s="3"/>
      <c r="S51" s="3"/>
      <c r="T51" s="3"/>
      <c r="U51" s="3"/>
      <c r="V51" s="3"/>
      <c r="W51" s="3"/>
    </row>
    <row r="52" spans="1:23" ht="19" customHeight="1">
      <c r="A52" s="2"/>
      <c r="B52" s="2"/>
      <c r="C52" s="2" t="s">
        <v>236</v>
      </c>
      <c r="D52" s="13" t="s">
        <v>126</v>
      </c>
      <c r="E52" s="13">
        <v>-2.1</v>
      </c>
      <c r="F52" s="13" t="s">
        <v>126</v>
      </c>
      <c r="G52" s="3"/>
      <c r="H52" s="3"/>
      <c r="I52" s="3"/>
      <c r="J52" s="3"/>
      <c r="K52" s="3"/>
      <c r="L52" s="3"/>
      <c r="M52" s="3"/>
      <c r="N52" s="3"/>
      <c r="O52" s="3"/>
      <c r="P52" s="3"/>
      <c r="Q52" s="3"/>
      <c r="R52" s="3"/>
      <c r="S52" s="3"/>
      <c r="T52" s="3"/>
      <c r="U52" s="3"/>
      <c r="V52" s="3"/>
      <c r="W52" s="3"/>
    </row>
    <row r="53" spans="1:23" ht="19" customHeight="1">
      <c r="A53" s="2"/>
      <c r="B53" s="2"/>
      <c r="C53" s="2" t="s">
        <v>237</v>
      </c>
      <c r="D53" s="13">
        <v>3</v>
      </c>
      <c r="E53" s="13">
        <v>-3.3</v>
      </c>
      <c r="F53" s="13">
        <v>28.7</v>
      </c>
      <c r="G53" s="3"/>
      <c r="H53" s="3"/>
      <c r="I53" s="3"/>
      <c r="J53" s="3"/>
      <c r="K53" s="3"/>
      <c r="L53" s="3"/>
      <c r="M53" s="3"/>
      <c r="N53" s="3"/>
      <c r="O53" s="3"/>
      <c r="P53" s="3"/>
      <c r="Q53" s="3"/>
      <c r="R53" s="3"/>
      <c r="S53" s="3"/>
      <c r="T53" s="3"/>
      <c r="U53" s="3"/>
      <c r="V53" s="3"/>
      <c r="W53" s="3"/>
    </row>
    <row r="54" spans="1:23" ht="19" customHeight="1">
      <c r="A54" s="2"/>
      <c r="B54" s="2"/>
      <c r="C54" s="2" t="s">
        <v>238</v>
      </c>
      <c r="D54" s="13">
        <v>9.6999999999999993</v>
      </c>
      <c r="E54" s="13">
        <v>10.9</v>
      </c>
      <c r="F54" s="13">
        <v>21.4</v>
      </c>
      <c r="G54" s="3"/>
      <c r="H54" s="3"/>
      <c r="I54" s="3"/>
      <c r="J54" s="3"/>
      <c r="K54" s="3"/>
      <c r="L54" s="3"/>
      <c r="M54" s="3"/>
      <c r="N54" s="3"/>
      <c r="O54" s="3"/>
      <c r="P54" s="3"/>
      <c r="Q54" s="3"/>
      <c r="R54" s="3"/>
      <c r="S54" s="3"/>
      <c r="T54" s="3"/>
      <c r="U54" s="3"/>
      <c r="V54" s="3"/>
      <c r="W54" s="3"/>
    </row>
    <row r="55" spans="1:23" ht="19" customHeight="1">
      <c r="A55" s="2"/>
      <c r="B55" s="2"/>
      <c r="C55" s="2" t="s">
        <v>239</v>
      </c>
      <c r="D55" s="13">
        <v>11.5</v>
      </c>
      <c r="E55" s="13">
        <v>-6.5</v>
      </c>
      <c r="F55" s="13">
        <v>8.9</v>
      </c>
      <c r="G55" s="3"/>
      <c r="H55" s="3"/>
      <c r="I55" s="3"/>
      <c r="J55" s="3"/>
      <c r="K55" s="3"/>
      <c r="L55" s="3"/>
      <c r="M55" s="3"/>
      <c r="N55" s="3"/>
      <c r="O55" s="3"/>
      <c r="P55" s="3"/>
      <c r="Q55" s="3"/>
      <c r="R55" s="3"/>
      <c r="S55" s="3"/>
      <c r="T55" s="3"/>
      <c r="U55" s="3"/>
      <c r="V55" s="3"/>
      <c r="W55" s="3"/>
    </row>
    <row r="56" spans="1:23" ht="19" customHeight="1">
      <c r="A56" s="2"/>
      <c r="B56" s="2"/>
      <c r="C56" s="2" t="s">
        <v>233</v>
      </c>
      <c r="D56" s="3" t="s">
        <v>202</v>
      </c>
      <c r="E56" s="3" t="s">
        <v>206</v>
      </c>
      <c r="F56" s="3" t="s">
        <v>210</v>
      </c>
      <c r="G56" s="3"/>
      <c r="H56" s="3"/>
      <c r="I56" s="3"/>
      <c r="J56" s="3"/>
      <c r="K56" s="3"/>
      <c r="L56" s="3"/>
      <c r="M56" s="3"/>
      <c r="N56" s="3"/>
      <c r="O56" s="3"/>
      <c r="P56" s="3"/>
      <c r="Q56" s="3"/>
      <c r="R56" s="3"/>
      <c r="S56" s="3"/>
      <c r="T56" s="3"/>
      <c r="U56" s="3"/>
      <c r="V56" s="3"/>
      <c r="W56" s="3"/>
    </row>
    <row r="57" spans="1:23" ht="19" customHeight="1">
      <c r="A57" s="2"/>
      <c r="B57" s="2"/>
      <c r="C57" s="2"/>
      <c r="D57" s="3"/>
      <c r="E57" s="3"/>
      <c r="F57" s="3"/>
      <c r="G57" s="3"/>
      <c r="H57" s="3"/>
      <c r="I57" s="3"/>
      <c r="J57" s="3"/>
      <c r="K57" s="3"/>
      <c r="L57" s="3"/>
      <c r="M57" s="3"/>
      <c r="N57" s="3"/>
      <c r="O57" s="3"/>
      <c r="P57" s="3"/>
      <c r="Q57" s="3"/>
      <c r="R57" s="3"/>
      <c r="S57" s="3"/>
      <c r="T57" s="3"/>
      <c r="U57" s="3"/>
      <c r="V57" s="3"/>
      <c r="W57" s="3"/>
    </row>
    <row r="58" spans="1:23" ht="19" customHeight="1">
      <c r="A58" s="2"/>
      <c r="B58" s="2"/>
      <c r="C58" s="2"/>
      <c r="D58" s="3"/>
      <c r="E58" s="3"/>
      <c r="F58" s="3"/>
      <c r="G58" s="3"/>
      <c r="H58" s="3"/>
      <c r="I58" s="3"/>
      <c r="J58" s="3"/>
      <c r="K58" s="3"/>
      <c r="L58" s="3"/>
      <c r="M58" s="3"/>
      <c r="N58" s="3"/>
      <c r="O58" s="3"/>
      <c r="P58" s="3"/>
      <c r="Q58" s="3"/>
      <c r="R58" s="3"/>
      <c r="S58" s="3"/>
      <c r="T58" s="3"/>
      <c r="U58" s="3"/>
      <c r="V58" s="3"/>
      <c r="W58" s="3"/>
    </row>
    <row r="59" spans="1:23" ht="19" customHeight="1">
      <c r="A59" s="2"/>
      <c r="B59" s="2"/>
      <c r="C59" s="11" t="s">
        <v>240</v>
      </c>
      <c r="D59" s="12"/>
      <c r="E59" s="12"/>
      <c r="F59" s="12"/>
      <c r="G59" s="12"/>
      <c r="H59" s="12"/>
      <c r="I59" s="3"/>
      <c r="J59" s="3"/>
      <c r="K59" s="3"/>
      <c r="L59" s="3"/>
      <c r="M59" s="3"/>
      <c r="N59" s="3"/>
      <c r="O59" s="3"/>
      <c r="P59" s="3"/>
      <c r="Q59" s="3"/>
      <c r="R59" s="3"/>
      <c r="S59" s="3"/>
      <c r="T59" s="3"/>
      <c r="U59" s="3"/>
      <c r="V59" s="3"/>
      <c r="W59" s="3"/>
    </row>
    <row r="60" spans="1:23" ht="19" customHeight="1">
      <c r="A60" s="2"/>
      <c r="B60" s="2"/>
      <c r="C60" s="2" t="s">
        <v>45</v>
      </c>
      <c r="D60" s="3" t="s">
        <v>241</v>
      </c>
      <c r="E60" s="3" t="s">
        <v>242</v>
      </c>
      <c r="F60" s="3" t="s">
        <v>243</v>
      </c>
      <c r="G60" s="3"/>
      <c r="H60" s="3" t="s">
        <v>244</v>
      </c>
      <c r="I60" s="3"/>
      <c r="J60" s="3"/>
      <c r="K60" s="3"/>
      <c r="L60" s="3"/>
      <c r="M60" s="3"/>
      <c r="N60" s="3"/>
      <c r="O60" s="3"/>
      <c r="P60" s="3"/>
      <c r="Q60" s="3"/>
      <c r="R60" s="3"/>
      <c r="S60" s="3"/>
      <c r="T60" s="3"/>
      <c r="U60" s="3"/>
      <c r="V60" s="3"/>
      <c r="W60" s="3"/>
    </row>
    <row r="61" spans="1:23" ht="19" customHeight="1">
      <c r="A61" s="2"/>
      <c r="B61" s="2"/>
      <c r="C61" s="2" t="s">
        <v>49</v>
      </c>
      <c r="D61" s="13">
        <v>42.5</v>
      </c>
      <c r="E61" s="13">
        <v>426</v>
      </c>
      <c r="F61" s="13">
        <v>105</v>
      </c>
      <c r="G61" s="3"/>
      <c r="H61" s="3"/>
      <c r="I61" s="3"/>
      <c r="J61" s="3"/>
      <c r="K61" s="3"/>
      <c r="L61" s="3"/>
      <c r="M61" s="3"/>
      <c r="N61" s="3"/>
      <c r="O61" s="3"/>
      <c r="P61" s="3"/>
      <c r="Q61" s="3"/>
      <c r="R61" s="3"/>
      <c r="S61" s="3"/>
      <c r="T61" s="3"/>
      <c r="U61" s="3"/>
      <c r="V61" s="3"/>
      <c r="W61" s="3"/>
    </row>
    <row r="62" spans="1:23" ht="19" customHeight="1">
      <c r="A62" s="2"/>
      <c r="B62" s="2"/>
      <c r="C62" s="2" t="s">
        <v>50</v>
      </c>
      <c r="D62" s="13">
        <v>46.6</v>
      </c>
      <c r="E62" s="13">
        <v>269</v>
      </c>
      <c r="F62" s="13">
        <v>63</v>
      </c>
      <c r="G62" s="3"/>
      <c r="H62" s="3"/>
      <c r="I62" s="3"/>
      <c r="J62" s="3"/>
      <c r="K62" s="3"/>
      <c r="L62" s="3"/>
      <c r="M62" s="3"/>
      <c r="N62" s="3"/>
      <c r="O62" s="3"/>
      <c r="P62" s="3"/>
      <c r="Q62" s="3"/>
      <c r="R62" s="3"/>
      <c r="S62" s="3"/>
      <c r="T62" s="3"/>
      <c r="U62" s="3"/>
      <c r="V62" s="3"/>
      <c r="W62" s="3"/>
    </row>
    <row r="63" spans="1:23" ht="19" customHeight="1">
      <c r="A63" s="2"/>
      <c r="B63" s="2"/>
      <c r="C63" s="2" t="s">
        <v>51</v>
      </c>
      <c r="D63" s="13">
        <v>14.5</v>
      </c>
      <c r="E63" s="13">
        <v>28</v>
      </c>
      <c r="F63" s="13">
        <v>20</v>
      </c>
      <c r="G63" s="3"/>
      <c r="H63" s="3"/>
      <c r="I63" s="3"/>
      <c r="J63" s="3"/>
      <c r="K63" s="3"/>
      <c r="L63" s="3"/>
      <c r="M63" s="3"/>
      <c r="N63" s="3"/>
      <c r="O63" s="3"/>
      <c r="P63" s="3"/>
      <c r="Q63" s="3"/>
      <c r="R63" s="3"/>
      <c r="S63" s="3"/>
      <c r="T63" s="3"/>
      <c r="U63" s="3"/>
      <c r="V63" s="3"/>
      <c r="W63" s="3"/>
    </row>
    <row r="64" spans="1:23" ht="19" customHeight="1">
      <c r="A64" s="2"/>
      <c r="B64" s="2"/>
      <c r="C64" s="2" t="s">
        <v>52</v>
      </c>
      <c r="D64" s="13">
        <v>76.2</v>
      </c>
      <c r="E64" s="13">
        <v>136</v>
      </c>
      <c r="F64" s="13">
        <v>24</v>
      </c>
      <c r="G64" s="3"/>
      <c r="H64" s="3"/>
      <c r="I64" s="3"/>
      <c r="J64" s="3"/>
      <c r="K64" s="3"/>
      <c r="L64" s="3"/>
      <c r="M64" s="3"/>
      <c r="N64" s="3"/>
      <c r="O64" s="3"/>
      <c r="P64" s="3"/>
      <c r="Q64" s="3"/>
      <c r="R64" s="3"/>
      <c r="S64" s="3"/>
      <c r="T64" s="3"/>
      <c r="U64" s="3"/>
      <c r="V64" s="3"/>
      <c r="W64" s="3"/>
    </row>
    <row r="65" spans="1:23" ht="19" customHeight="1">
      <c r="A65" s="2"/>
      <c r="B65" s="2"/>
      <c r="C65" s="2" t="s">
        <v>53</v>
      </c>
      <c r="D65" s="13">
        <v>47.8</v>
      </c>
      <c r="E65" s="13">
        <v>215</v>
      </c>
      <c r="F65" s="13">
        <v>57</v>
      </c>
      <c r="G65" s="3"/>
      <c r="H65" s="3"/>
      <c r="I65" s="3"/>
      <c r="J65" s="3"/>
      <c r="K65" s="3"/>
      <c r="L65" s="3"/>
      <c r="M65" s="3"/>
      <c r="N65" s="3"/>
      <c r="O65" s="3"/>
      <c r="P65" s="3"/>
      <c r="Q65" s="3"/>
      <c r="R65" s="3"/>
      <c r="S65" s="3"/>
      <c r="T65" s="3"/>
      <c r="U65" s="3"/>
      <c r="V65" s="3"/>
      <c r="W65" s="3"/>
    </row>
    <row r="66" spans="1:23" ht="19" customHeight="1">
      <c r="A66" s="2"/>
      <c r="B66" s="2"/>
      <c r="C66" s="2" t="s">
        <v>245</v>
      </c>
      <c r="D66" s="13">
        <v>0</v>
      </c>
      <c r="E66" s="13">
        <v>3</v>
      </c>
      <c r="F66" s="13" t="s">
        <v>135</v>
      </c>
      <c r="G66" s="3"/>
      <c r="H66" s="3"/>
      <c r="I66" s="3"/>
      <c r="J66" s="3"/>
      <c r="K66" s="3"/>
      <c r="L66" s="3"/>
      <c r="M66" s="3"/>
      <c r="N66" s="3"/>
      <c r="O66" s="3"/>
      <c r="P66" s="3"/>
      <c r="Q66" s="3"/>
      <c r="R66" s="3"/>
      <c r="S66" s="3"/>
      <c r="T66" s="3"/>
      <c r="U66" s="3"/>
      <c r="V66" s="3"/>
      <c r="W66" s="3"/>
    </row>
    <row r="67" spans="1:23" ht="19" customHeight="1">
      <c r="A67" s="2"/>
      <c r="B67" s="2"/>
      <c r="C67" s="2"/>
      <c r="D67" s="3"/>
      <c r="E67" s="3"/>
      <c r="F67" s="3"/>
      <c r="G67" s="3"/>
      <c r="H67" s="3"/>
      <c r="I67" s="3"/>
      <c r="J67" s="3"/>
      <c r="K67" s="3"/>
      <c r="L67" s="3"/>
      <c r="M67" s="3"/>
      <c r="N67" s="3"/>
      <c r="O67" s="3"/>
      <c r="P67" s="3"/>
      <c r="Q67" s="3"/>
      <c r="R67" s="3"/>
      <c r="S67" s="3"/>
      <c r="T67" s="3"/>
      <c r="U67" s="3"/>
      <c r="V67" s="3"/>
      <c r="W67" s="3"/>
    </row>
    <row r="68" spans="1:23" ht="19" customHeight="1">
      <c r="A68" s="2"/>
      <c r="B68" s="2"/>
      <c r="C68" s="2"/>
      <c r="D68" s="3"/>
      <c r="E68" s="3"/>
      <c r="F68" s="3"/>
      <c r="G68" s="3"/>
      <c r="H68" s="3"/>
      <c r="I68" s="3"/>
      <c r="J68" s="3"/>
      <c r="K68" s="3"/>
      <c r="L68" s="3"/>
      <c r="M68" s="3"/>
      <c r="N68" s="3"/>
      <c r="O68" s="3"/>
      <c r="P68" s="3"/>
      <c r="Q68" s="3"/>
      <c r="R68" s="3"/>
      <c r="S68" s="3"/>
      <c r="T68" s="3"/>
      <c r="U68" s="3"/>
      <c r="V68" s="3"/>
      <c r="W68" s="3"/>
    </row>
    <row r="69" spans="1:23" ht="19" customHeight="1">
      <c r="A69" s="2"/>
      <c r="B69" s="2"/>
      <c r="C69" s="11" t="s">
        <v>246</v>
      </c>
      <c r="D69" s="12"/>
      <c r="E69" s="12"/>
      <c r="F69" s="12"/>
      <c r="G69" s="12"/>
      <c r="H69" s="12"/>
      <c r="I69" s="12"/>
      <c r="J69" s="12"/>
      <c r="K69" s="12"/>
      <c r="L69" s="12"/>
      <c r="M69" s="12"/>
      <c r="N69" s="3"/>
      <c r="O69" s="3"/>
      <c r="P69" s="3"/>
      <c r="Q69" s="3"/>
      <c r="R69" s="3"/>
      <c r="S69" s="3"/>
      <c r="T69" s="3"/>
      <c r="U69" s="3"/>
      <c r="V69" s="3"/>
      <c r="W69" s="3"/>
    </row>
    <row r="70" spans="1:23" ht="19" customHeight="1">
      <c r="A70" s="2"/>
      <c r="B70" s="2"/>
      <c r="C70" s="1"/>
      <c r="D70" s="1"/>
      <c r="E70" s="1"/>
      <c r="F70" s="1"/>
      <c r="G70" s="1"/>
      <c r="H70" s="1"/>
      <c r="I70" s="1"/>
      <c r="J70" s="1"/>
      <c r="K70" s="1"/>
      <c r="L70" s="1"/>
      <c r="M70" s="1"/>
      <c r="N70" s="3"/>
      <c r="O70" s="3"/>
      <c r="P70" s="3"/>
      <c r="Q70" s="3"/>
      <c r="R70" s="3"/>
      <c r="S70" s="3"/>
      <c r="T70" s="3"/>
      <c r="U70" s="3"/>
      <c r="V70" s="3"/>
      <c r="W70" s="3"/>
    </row>
    <row r="71" spans="1:23" ht="19" customHeight="1">
      <c r="A71" s="2"/>
      <c r="B71" s="2"/>
      <c r="C71" s="16" t="s">
        <v>247</v>
      </c>
      <c r="D71" s="16" t="s">
        <v>248</v>
      </c>
      <c r="E71" s="16" t="s">
        <v>249</v>
      </c>
      <c r="F71" s="16"/>
      <c r="G71" s="16"/>
      <c r="H71" s="16"/>
      <c r="I71" s="16"/>
      <c r="J71" s="16"/>
      <c r="K71" s="16"/>
      <c r="L71" s="16"/>
      <c r="M71" s="16"/>
      <c r="N71" s="3"/>
      <c r="O71" s="3"/>
      <c r="P71" s="3"/>
      <c r="Q71" s="3"/>
      <c r="R71" s="3"/>
      <c r="S71" s="3"/>
      <c r="T71" s="3"/>
      <c r="U71" s="3"/>
      <c r="V71" s="3"/>
      <c r="W71" s="3"/>
    </row>
    <row r="72" spans="1:23" ht="19" customHeight="1">
      <c r="A72" s="2"/>
      <c r="B72" s="2"/>
      <c r="C72" s="1" t="s">
        <v>250</v>
      </c>
      <c r="D72" s="1" t="s">
        <v>251</v>
      </c>
      <c r="E72" s="1"/>
      <c r="F72" s="1"/>
      <c r="G72" s="1"/>
      <c r="H72" s="1"/>
      <c r="I72" s="1"/>
      <c r="J72" s="1"/>
      <c r="K72" s="1"/>
      <c r="L72" s="1"/>
      <c r="M72" s="1"/>
      <c r="N72" s="3"/>
      <c r="O72" s="3"/>
      <c r="P72" s="3"/>
      <c r="Q72" s="3"/>
      <c r="R72" s="3"/>
      <c r="S72" s="3"/>
      <c r="T72" s="3"/>
      <c r="U72" s="3"/>
      <c r="V72" s="3"/>
      <c r="W72" s="3"/>
    </row>
    <row r="73" spans="1:23" ht="19" customHeight="1">
      <c r="A73" s="2"/>
      <c r="B73" s="2"/>
      <c r="C73" s="1" t="s">
        <v>252</v>
      </c>
      <c r="D73" s="1" t="s">
        <v>253</v>
      </c>
      <c r="E73" s="1"/>
      <c r="F73" s="1"/>
      <c r="G73" s="1"/>
      <c r="H73" s="1"/>
      <c r="I73" s="1"/>
      <c r="J73" s="1"/>
      <c r="K73" s="1"/>
      <c r="L73" s="1"/>
      <c r="M73" s="1"/>
      <c r="N73" s="3"/>
      <c r="O73" s="3"/>
      <c r="P73" s="3"/>
      <c r="Q73" s="3"/>
      <c r="R73" s="3"/>
      <c r="S73" s="3"/>
      <c r="T73" s="3"/>
      <c r="U73" s="3"/>
      <c r="V73" s="3"/>
      <c r="W73" s="3"/>
    </row>
    <row r="74" spans="1:23" ht="19" customHeight="1">
      <c r="A74" s="2"/>
      <c r="B74" s="2"/>
      <c r="C74" s="1"/>
      <c r="D74" s="1"/>
      <c r="E74" s="1"/>
      <c r="F74" s="1"/>
      <c r="G74" s="1"/>
      <c r="H74" s="1"/>
      <c r="I74" s="1"/>
      <c r="J74" s="1"/>
      <c r="K74" s="1"/>
      <c r="L74" s="1"/>
      <c r="M74" s="1"/>
      <c r="N74" s="3"/>
      <c r="O74" s="3"/>
      <c r="P74" s="3"/>
      <c r="Q74" s="3"/>
      <c r="R74" s="3"/>
      <c r="S74" s="3"/>
      <c r="T74" s="3"/>
      <c r="U74" s="3"/>
      <c r="V74" s="3"/>
      <c r="W74" s="3"/>
    </row>
    <row r="75" spans="1:23" ht="19" customHeight="1">
      <c r="A75" s="2"/>
      <c r="B75" s="2"/>
      <c r="C75" s="16" t="s">
        <v>254</v>
      </c>
      <c r="D75" s="16" t="s">
        <v>255</v>
      </c>
      <c r="E75" s="16" t="s">
        <v>256</v>
      </c>
      <c r="F75" s="16"/>
      <c r="G75" s="16"/>
      <c r="H75" s="16"/>
      <c r="I75" s="16"/>
      <c r="J75" s="16"/>
      <c r="K75" s="16"/>
      <c r="L75" s="16"/>
      <c r="M75" s="16"/>
      <c r="N75" s="3"/>
      <c r="O75" s="3"/>
      <c r="P75" s="3"/>
      <c r="Q75" s="3"/>
      <c r="R75" s="3"/>
      <c r="S75" s="3"/>
      <c r="T75" s="3"/>
      <c r="U75" s="3"/>
      <c r="V75" s="3"/>
      <c r="W75" s="3"/>
    </row>
    <row r="76" spans="1:23" ht="19" customHeight="1">
      <c r="A76" s="2"/>
      <c r="B76" s="2"/>
      <c r="C76" s="1" t="s">
        <v>250</v>
      </c>
      <c r="D76" s="1" t="s">
        <v>257</v>
      </c>
      <c r="E76" s="1"/>
      <c r="F76" s="1"/>
      <c r="G76" s="1"/>
      <c r="H76" s="1"/>
      <c r="I76" s="1"/>
      <c r="J76" s="1"/>
      <c r="K76" s="1"/>
      <c r="L76" s="1"/>
      <c r="M76" s="1"/>
      <c r="N76" s="3"/>
      <c r="O76" s="3"/>
      <c r="P76" s="3"/>
      <c r="Q76" s="3"/>
      <c r="R76" s="3"/>
      <c r="S76" s="3"/>
      <c r="T76" s="3"/>
      <c r="U76" s="3"/>
      <c r="V76" s="3"/>
      <c r="W76" s="3"/>
    </row>
    <row r="77" spans="1:23" ht="19" customHeight="1">
      <c r="A77" s="2"/>
      <c r="B77" s="2"/>
      <c r="C77" s="1" t="s">
        <v>252</v>
      </c>
      <c r="D77" s="1" t="s">
        <v>258</v>
      </c>
      <c r="E77" s="1"/>
      <c r="F77" s="1"/>
      <c r="G77" s="1"/>
      <c r="H77" s="1"/>
      <c r="I77" s="1"/>
      <c r="J77" s="1"/>
      <c r="K77" s="1"/>
      <c r="L77" s="1"/>
      <c r="M77" s="1"/>
      <c r="N77" s="3"/>
      <c r="O77" s="3"/>
      <c r="P77" s="3"/>
      <c r="Q77" s="3"/>
      <c r="R77" s="3"/>
      <c r="S77" s="3"/>
      <c r="T77" s="3"/>
      <c r="U77" s="3"/>
      <c r="V77" s="3"/>
      <c r="W77" s="3"/>
    </row>
    <row r="78" spans="1:23" ht="19" customHeight="1">
      <c r="A78" s="2"/>
      <c r="B78" s="2"/>
      <c r="C78" s="1"/>
      <c r="D78" s="1"/>
      <c r="E78" s="1"/>
      <c r="F78" s="1"/>
      <c r="G78" s="1"/>
      <c r="H78" s="1"/>
      <c r="I78" s="1"/>
      <c r="J78" s="1"/>
      <c r="K78" s="1"/>
      <c r="L78" s="1"/>
      <c r="M78" s="1"/>
      <c r="N78" s="3"/>
      <c r="O78" s="3"/>
      <c r="P78" s="3"/>
      <c r="Q78" s="3"/>
      <c r="R78" s="3"/>
      <c r="S78" s="3"/>
      <c r="T78" s="3"/>
      <c r="U78" s="3"/>
      <c r="V78" s="3"/>
      <c r="W78" s="3"/>
    </row>
    <row r="79" spans="1:23" ht="19" customHeight="1">
      <c r="A79" s="2"/>
      <c r="B79" s="2"/>
      <c r="C79" s="16" t="s">
        <v>259</v>
      </c>
      <c r="D79" s="16" t="s">
        <v>260</v>
      </c>
      <c r="E79" s="16" t="s">
        <v>261</v>
      </c>
      <c r="F79" s="16"/>
      <c r="G79" s="16"/>
      <c r="H79" s="16"/>
      <c r="I79" s="16"/>
      <c r="J79" s="16"/>
      <c r="K79" s="16"/>
      <c r="L79" s="16"/>
      <c r="M79" s="16"/>
      <c r="N79" s="3"/>
      <c r="O79" s="3"/>
      <c r="P79" s="3"/>
      <c r="Q79" s="3"/>
      <c r="R79" s="3"/>
      <c r="S79" s="3"/>
      <c r="T79" s="3"/>
      <c r="U79" s="3"/>
      <c r="V79" s="3"/>
      <c r="W79" s="3"/>
    </row>
    <row r="80" spans="1:23" ht="19" customHeight="1">
      <c r="A80" s="2"/>
      <c r="B80" s="2"/>
      <c r="C80" s="1" t="s">
        <v>250</v>
      </c>
      <c r="D80" s="1" t="s">
        <v>251</v>
      </c>
      <c r="E80" s="1"/>
      <c r="F80" s="1"/>
      <c r="G80" s="1"/>
      <c r="H80" s="1"/>
      <c r="I80" s="1"/>
      <c r="J80" s="1"/>
      <c r="K80" s="1"/>
      <c r="L80" s="1"/>
      <c r="M80" s="1"/>
      <c r="N80" s="3"/>
      <c r="O80" s="3"/>
      <c r="P80" s="3"/>
      <c r="Q80" s="3"/>
      <c r="R80" s="3"/>
      <c r="S80" s="3"/>
      <c r="T80" s="3"/>
      <c r="U80" s="3"/>
      <c r="V80" s="3"/>
      <c r="W80" s="3"/>
    </row>
    <row r="81" spans="1:23" ht="19" customHeight="1">
      <c r="A81" s="2"/>
      <c r="B81" s="2"/>
      <c r="C81" s="1" t="s">
        <v>252</v>
      </c>
      <c r="D81" s="1" t="s">
        <v>253</v>
      </c>
      <c r="E81" s="1"/>
      <c r="F81" s="1"/>
      <c r="G81" s="1"/>
      <c r="H81" s="1"/>
      <c r="I81" s="1"/>
      <c r="J81" s="1"/>
      <c r="K81" s="1"/>
      <c r="L81" s="1"/>
      <c r="M81" s="1"/>
      <c r="N81" s="3"/>
      <c r="O81" s="3"/>
      <c r="P81" s="3"/>
      <c r="Q81" s="3"/>
      <c r="R81" s="3"/>
      <c r="S81" s="3"/>
      <c r="T81" s="3"/>
      <c r="U81" s="3"/>
      <c r="V81" s="3"/>
      <c r="W81" s="3"/>
    </row>
    <row r="82" spans="1:23" ht="19" customHeight="1">
      <c r="A82" s="2"/>
      <c r="B82" s="2"/>
      <c r="C82" s="1"/>
      <c r="D82" s="1"/>
      <c r="E82" s="1"/>
      <c r="F82" s="1"/>
      <c r="G82" s="1"/>
      <c r="H82" s="1"/>
      <c r="I82" s="1"/>
      <c r="J82" s="1"/>
      <c r="K82" s="1"/>
      <c r="L82" s="1"/>
      <c r="M82" s="1"/>
      <c r="N82" s="3"/>
      <c r="O82" s="3"/>
      <c r="P82" s="3"/>
      <c r="Q82" s="3"/>
      <c r="R82" s="3"/>
      <c r="S82" s="3"/>
      <c r="T82" s="3"/>
      <c r="U82" s="3"/>
      <c r="V82" s="3"/>
      <c r="W82" s="3"/>
    </row>
    <row r="83" spans="1:23" ht="19" customHeight="1">
      <c r="A83" s="2"/>
      <c r="B83" s="2"/>
      <c r="C83" s="16" t="s">
        <v>262</v>
      </c>
      <c r="D83" s="16" t="s">
        <v>263</v>
      </c>
      <c r="E83" s="16" t="s">
        <v>264</v>
      </c>
      <c r="F83" s="16"/>
      <c r="G83" s="16"/>
      <c r="H83" s="16"/>
      <c r="I83" s="16"/>
      <c r="J83" s="16"/>
      <c r="K83" s="16"/>
      <c r="L83" s="16"/>
      <c r="M83" s="16"/>
      <c r="N83" s="3"/>
      <c r="O83" s="3"/>
      <c r="P83" s="3"/>
      <c r="Q83" s="3"/>
      <c r="R83" s="3"/>
      <c r="S83" s="3"/>
      <c r="T83" s="3"/>
      <c r="U83" s="3"/>
      <c r="V83" s="3"/>
      <c r="W83" s="3"/>
    </row>
    <row r="84" spans="1:23" ht="19" customHeight="1">
      <c r="A84" s="2"/>
      <c r="B84" s="2"/>
      <c r="C84" s="1" t="s">
        <v>250</v>
      </c>
      <c r="D84" s="1" t="s">
        <v>265</v>
      </c>
      <c r="E84" s="1"/>
      <c r="F84" s="1"/>
      <c r="G84" s="1"/>
      <c r="H84" s="1"/>
      <c r="I84" s="1"/>
      <c r="J84" s="1"/>
      <c r="K84" s="1"/>
      <c r="L84" s="1"/>
      <c r="M84" s="1"/>
      <c r="N84" s="3"/>
      <c r="O84" s="3"/>
      <c r="P84" s="3"/>
      <c r="Q84" s="3"/>
      <c r="R84" s="3"/>
      <c r="S84" s="3"/>
      <c r="T84" s="3"/>
      <c r="U84" s="3"/>
      <c r="V84" s="3"/>
      <c r="W84" s="3"/>
    </row>
    <row r="85" spans="1:23" ht="19" customHeight="1">
      <c r="A85" s="2"/>
      <c r="B85" s="2"/>
      <c r="C85" s="1" t="s">
        <v>252</v>
      </c>
      <c r="D85" s="1" t="s">
        <v>266</v>
      </c>
      <c r="E85" s="1"/>
      <c r="F85" s="1"/>
      <c r="G85" s="1"/>
      <c r="H85" s="1"/>
      <c r="I85" s="1"/>
      <c r="J85" s="1"/>
      <c r="K85" s="1"/>
      <c r="L85" s="1"/>
      <c r="M85" s="1"/>
      <c r="N85" s="3"/>
      <c r="O85" s="3"/>
      <c r="P85" s="3"/>
      <c r="Q85" s="3"/>
      <c r="R85" s="3"/>
      <c r="S85" s="3"/>
      <c r="T85" s="3"/>
      <c r="U85" s="3"/>
      <c r="V85" s="3"/>
      <c r="W85" s="3"/>
    </row>
    <row r="86" spans="1:23" ht="19" customHeight="1">
      <c r="A86" s="2"/>
      <c r="B86" s="2"/>
      <c r="C86" s="1"/>
      <c r="D86" s="1"/>
      <c r="E86" s="1"/>
      <c r="F86" s="1"/>
      <c r="G86" s="1"/>
      <c r="H86" s="1"/>
      <c r="I86" s="1"/>
      <c r="J86" s="1"/>
      <c r="K86" s="1"/>
      <c r="L86" s="1"/>
      <c r="M86" s="1"/>
      <c r="N86" s="3"/>
      <c r="O86" s="3"/>
      <c r="P86" s="3"/>
      <c r="Q86" s="3"/>
      <c r="R86" s="3"/>
      <c r="S86" s="3"/>
      <c r="T86" s="3"/>
      <c r="U86" s="3"/>
      <c r="V86" s="3"/>
      <c r="W86" s="3"/>
    </row>
    <row r="87" spans="1:23" ht="19" customHeight="1">
      <c r="A87" s="2"/>
      <c r="B87" s="2"/>
      <c r="C87" s="16" t="s">
        <v>267</v>
      </c>
      <c r="D87" s="16" t="s">
        <v>268</v>
      </c>
      <c r="E87" s="16" t="s">
        <v>269</v>
      </c>
      <c r="F87" s="16"/>
      <c r="G87" s="16"/>
      <c r="H87" s="16"/>
      <c r="I87" s="16"/>
      <c r="J87" s="16"/>
      <c r="K87" s="16"/>
      <c r="L87" s="16"/>
      <c r="M87" s="16"/>
      <c r="N87" s="3"/>
      <c r="O87" s="3"/>
      <c r="P87" s="3"/>
      <c r="Q87" s="3"/>
      <c r="R87" s="3"/>
      <c r="S87" s="3"/>
      <c r="T87" s="3"/>
      <c r="U87" s="3"/>
      <c r="V87" s="3"/>
      <c r="W87" s="3"/>
    </row>
    <row r="88" spans="1:23" ht="19" customHeight="1">
      <c r="A88" s="2"/>
      <c r="B88" s="2"/>
      <c r="C88" s="1" t="s">
        <v>250</v>
      </c>
      <c r="D88" s="1" t="s">
        <v>251</v>
      </c>
      <c r="E88" s="1"/>
      <c r="F88" s="1"/>
      <c r="G88" s="1"/>
      <c r="H88" s="1"/>
      <c r="I88" s="1"/>
      <c r="J88" s="1"/>
      <c r="K88" s="1"/>
      <c r="L88" s="1"/>
      <c r="M88" s="1"/>
      <c r="N88" s="3"/>
      <c r="O88" s="3"/>
      <c r="P88" s="3"/>
      <c r="Q88" s="3"/>
      <c r="R88" s="3"/>
      <c r="S88" s="3"/>
      <c r="T88" s="3"/>
      <c r="U88" s="3"/>
      <c r="V88" s="3"/>
      <c r="W88" s="3"/>
    </row>
    <row r="89" spans="1:23" ht="19" customHeight="1">
      <c r="A89" s="2"/>
      <c r="B89" s="2"/>
      <c r="C89" s="1" t="s">
        <v>252</v>
      </c>
      <c r="D89" s="1" t="s">
        <v>253</v>
      </c>
      <c r="E89" s="1"/>
      <c r="F89" s="1"/>
      <c r="G89" s="1"/>
      <c r="H89" s="1"/>
      <c r="I89" s="1"/>
      <c r="J89" s="1"/>
      <c r="K89" s="1"/>
      <c r="L89" s="1"/>
      <c r="M89" s="1"/>
      <c r="N89" s="3"/>
      <c r="O89" s="3"/>
      <c r="P89" s="3"/>
      <c r="Q89" s="3"/>
      <c r="R89" s="3"/>
      <c r="S89" s="3"/>
      <c r="T89" s="3"/>
      <c r="U89" s="3"/>
      <c r="V89" s="3"/>
      <c r="W89" s="3"/>
    </row>
    <row r="90" spans="1:23" ht="19" customHeight="1">
      <c r="A90" s="2"/>
      <c r="B90" s="2"/>
      <c r="C90" s="1"/>
      <c r="D90" s="1"/>
      <c r="E90" s="1"/>
      <c r="F90" s="1"/>
      <c r="G90" s="1"/>
      <c r="H90" s="1"/>
      <c r="I90" s="1"/>
      <c r="J90" s="1"/>
      <c r="K90" s="1"/>
      <c r="L90" s="1"/>
      <c r="M90" s="1"/>
      <c r="N90" s="3"/>
      <c r="O90" s="3"/>
      <c r="P90" s="3"/>
      <c r="Q90" s="3"/>
      <c r="R90" s="3"/>
      <c r="S90" s="3"/>
      <c r="T90" s="3"/>
      <c r="U90" s="3"/>
      <c r="V90" s="3"/>
      <c r="W90" s="3"/>
    </row>
    <row r="91" spans="1:23" ht="19" customHeight="1">
      <c r="A91" s="2"/>
      <c r="B91" s="2"/>
      <c r="C91" s="16" t="s">
        <v>270</v>
      </c>
      <c r="D91" s="16" t="s">
        <v>271</v>
      </c>
      <c r="E91" s="16" t="s">
        <v>272</v>
      </c>
      <c r="F91" s="16"/>
      <c r="G91" s="16"/>
      <c r="H91" s="16"/>
      <c r="I91" s="16"/>
      <c r="J91" s="16"/>
      <c r="K91" s="16"/>
      <c r="L91" s="16"/>
      <c r="M91" s="16"/>
      <c r="N91" s="3"/>
      <c r="O91" s="3"/>
      <c r="P91" s="3"/>
      <c r="Q91" s="3"/>
      <c r="R91" s="3"/>
      <c r="S91" s="3"/>
      <c r="T91" s="3"/>
      <c r="U91" s="3"/>
      <c r="V91" s="3"/>
      <c r="W91" s="3"/>
    </row>
    <row r="92" spans="1:23" ht="19" customHeight="1">
      <c r="A92" s="2"/>
      <c r="B92" s="2"/>
      <c r="C92" s="1" t="s">
        <v>250</v>
      </c>
      <c r="D92" s="1" t="s">
        <v>273</v>
      </c>
      <c r="E92" s="1"/>
      <c r="F92" s="1"/>
      <c r="G92" s="1"/>
      <c r="H92" s="1"/>
      <c r="I92" s="1"/>
      <c r="J92" s="1"/>
      <c r="K92" s="1"/>
      <c r="L92" s="1"/>
      <c r="M92" s="1"/>
      <c r="N92" s="3"/>
      <c r="O92" s="3"/>
      <c r="P92" s="3"/>
      <c r="Q92" s="3"/>
      <c r="R92" s="3"/>
      <c r="S92" s="3"/>
      <c r="T92" s="3"/>
      <c r="U92" s="3"/>
      <c r="V92" s="3"/>
      <c r="W92" s="3"/>
    </row>
    <row r="93" spans="1:23" ht="19" customHeight="1">
      <c r="A93" s="2"/>
      <c r="B93" s="2"/>
      <c r="C93" s="1" t="s">
        <v>252</v>
      </c>
      <c r="D93" s="1" t="s">
        <v>274</v>
      </c>
      <c r="E93" s="1"/>
      <c r="F93" s="1"/>
      <c r="G93" s="1"/>
      <c r="H93" s="1"/>
      <c r="I93" s="1"/>
      <c r="J93" s="1"/>
      <c r="K93" s="1"/>
      <c r="L93" s="1"/>
      <c r="M93" s="1"/>
      <c r="N93" s="3"/>
      <c r="O93" s="3"/>
      <c r="P93" s="3"/>
      <c r="Q93" s="3"/>
      <c r="R93" s="3"/>
      <c r="S93" s="3"/>
      <c r="T93" s="3"/>
      <c r="U93" s="3"/>
      <c r="V93" s="3"/>
      <c r="W93" s="3"/>
    </row>
    <row r="94" spans="1:23" ht="19" customHeight="1">
      <c r="A94" s="2"/>
      <c r="B94" s="2"/>
      <c r="C94" s="1"/>
      <c r="D94" s="1"/>
      <c r="E94" s="1"/>
      <c r="F94" s="1"/>
      <c r="G94" s="1"/>
      <c r="H94" s="1"/>
      <c r="I94" s="1"/>
      <c r="J94" s="1"/>
      <c r="K94" s="1"/>
      <c r="L94" s="1"/>
      <c r="M94" s="1"/>
      <c r="N94" s="3"/>
      <c r="O94" s="3"/>
      <c r="P94" s="3"/>
      <c r="Q94" s="3"/>
      <c r="R94" s="3"/>
      <c r="S94" s="3"/>
      <c r="T94" s="3"/>
      <c r="U94" s="3"/>
      <c r="V94" s="3"/>
      <c r="W94" s="3"/>
    </row>
    <row r="95" spans="1:23" ht="19" customHeight="1">
      <c r="A95" s="2"/>
      <c r="B95" s="2"/>
      <c r="C95" s="16" t="s">
        <v>275</v>
      </c>
      <c r="D95" s="16" t="s">
        <v>276</v>
      </c>
      <c r="E95" s="16" t="s">
        <v>277</v>
      </c>
      <c r="F95" s="16"/>
      <c r="G95" s="16"/>
      <c r="H95" s="16"/>
      <c r="I95" s="16"/>
      <c r="J95" s="16"/>
      <c r="K95" s="16"/>
      <c r="L95" s="16"/>
      <c r="M95" s="16"/>
      <c r="N95" s="3"/>
      <c r="O95" s="3"/>
      <c r="P95" s="3"/>
      <c r="Q95" s="3"/>
      <c r="R95" s="3"/>
      <c r="S95" s="3"/>
      <c r="T95" s="3"/>
      <c r="U95" s="3"/>
      <c r="V95" s="3"/>
      <c r="W95" s="3"/>
    </row>
    <row r="96" spans="1:23" ht="19" customHeight="1">
      <c r="A96" s="2"/>
      <c r="B96" s="2"/>
      <c r="C96" s="1" t="s">
        <v>250</v>
      </c>
      <c r="D96" s="1" t="s">
        <v>251</v>
      </c>
      <c r="E96" s="1"/>
      <c r="F96" s="1"/>
      <c r="G96" s="1"/>
      <c r="H96" s="1"/>
      <c r="I96" s="1"/>
      <c r="J96" s="1"/>
      <c r="K96" s="1"/>
      <c r="L96" s="1"/>
      <c r="M96" s="1"/>
      <c r="N96" s="3"/>
      <c r="O96" s="3"/>
      <c r="P96" s="3"/>
      <c r="Q96" s="3"/>
      <c r="R96" s="3"/>
      <c r="S96" s="3"/>
      <c r="T96" s="3"/>
      <c r="U96" s="3"/>
      <c r="V96" s="3"/>
      <c r="W96" s="3"/>
    </row>
    <row r="97" spans="1:23" ht="19" customHeight="1">
      <c r="A97" s="2"/>
      <c r="B97" s="2"/>
      <c r="C97" s="1" t="s">
        <v>252</v>
      </c>
      <c r="D97" s="1" t="s">
        <v>253</v>
      </c>
      <c r="E97" s="1"/>
      <c r="F97" s="1"/>
      <c r="G97" s="1"/>
      <c r="H97" s="1"/>
      <c r="I97" s="1"/>
      <c r="J97" s="1"/>
      <c r="K97" s="1"/>
      <c r="L97" s="1"/>
      <c r="M97" s="1"/>
      <c r="N97" s="3"/>
      <c r="O97" s="3"/>
      <c r="P97" s="3"/>
      <c r="Q97" s="3"/>
      <c r="R97" s="3"/>
      <c r="S97" s="3"/>
      <c r="T97" s="3"/>
      <c r="U97" s="3"/>
      <c r="V97" s="3"/>
      <c r="W97" s="3"/>
    </row>
    <row r="98" spans="1:23" ht="19" customHeight="1">
      <c r="A98" s="2"/>
      <c r="B98" s="2"/>
      <c r="C98" s="1"/>
      <c r="D98" s="1"/>
      <c r="E98" s="1"/>
      <c r="F98" s="1"/>
      <c r="G98" s="1"/>
      <c r="H98" s="1"/>
      <c r="I98" s="1"/>
      <c r="J98" s="1"/>
      <c r="K98" s="1"/>
      <c r="L98" s="1"/>
      <c r="M98" s="1"/>
      <c r="N98" s="3"/>
      <c r="O98" s="3"/>
      <c r="P98" s="3"/>
      <c r="Q98" s="3"/>
      <c r="R98" s="3"/>
      <c r="S98" s="3"/>
      <c r="T98" s="3"/>
      <c r="U98" s="3"/>
      <c r="V98" s="3"/>
      <c r="W98" s="3"/>
    </row>
    <row r="99" spans="1:23" ht="19" customHeight="1">
      <c r="A99" s="2"/>
      <c r="B99" s="2"/>
      <c r="C99" s="16" t="s">
        <v>278</v>
      </c>
      <c r="D99" s="16" t="s">
        <v>279</v>
      </c>
      <c r="E99" s="16" t="s">
        <v>280</v>
      </c>
      <c r="F99" s="16"/>
      <c r="G99" s="16"/>
      <c r="H99" s="16"/>
      <c r="I99" s="16"/>
      <c r="J99" s="16"/>
      <c r="K99" s="16"/>
      <c r="L99" s="16"/>
      <c r="M99" s="16"/>
      <c r="N99" s="3"/>
      <c r="O99" s="3"/>
      <c r="P99" s="3"/>
      <c r="Q99" s="3"/>
      <c r="R99" s="3"/>
      <c r="S99" s="3"/>
      <c r="T99" s="3"/>
      <c r="U99" s="3"/>
      <c r="V99" s="3"/>
      <c r="W99" s="3"/>
    </row>
    <row r="100" spans="1:23" ht="19" customHeight="1">
      <c r="A100" s="2"/>
      <c r="B100" s="2"/>
      <c r="C100" s="1" t="s">
        <v>250</v>
      </c>
      <c r="D100" s="1" t="s">
        <v>281</v>
      </c>
      <c r="E100" s="1"/>
      <c r="F100" s="1"/>
      <c r="G100" s="1"/>
      <c r="H100" s="1"/>
      <c r="I100" s="1"/>
      <c r="J100" s="1"/>
      <c r="K100" s="1"/>
      <c r="L100" s="1"/>
      <c r="M100" s="1"/>
      <c r="N100" s="3"/>
      <c r="O100" s="3"/>
      <c r="P100" s="3"/>
      <c r="Q100" s="3"/>
      <c r="R100" s="3"/>
      <c r="S100" s="3"/>
      <c r="T100" s="3"/>
      <c r="U100" s="3"/>
      <c r="V100" s="3"/>
      <c r="W100" s="3"/>
    </row>
    <row r="101" spans="1:23" ht="19" customHeight="1">
      <c r="C101" s="1" t="s">
        <v>252</v>
      </c>
      <c r="D101" s="1" t="s">
        <v>282</v>
      </c>
      <c r="E101" s="1"/>
      <c r="F101" s="1"/>
      <c r="G101" s="1"/>
      <c r="H101" s="1"/>
      <c r="I101" s="1"/>
      <c r="J101" s="1"/>
      <c r="K101" s="1"/>
      <c r="L101" s="1"/>
      <c r="M101" s="1"/>
    </row>
    <row r="102" spans="1:23" ht="19" customHeight="1">
      <c r="C102" s="1"/>
      <c r="D102" s="1"/>
      <c r="E102" s="1"/>
      <c r="F102" s="1"/>
      <c r="G102" s="1"/>
      <c r="H102" s="1"/>
      <c r="I102" s="1"/>
      <c r="J102" s="1"/>
      <c r="K102" s="1"/>
      <c r="L102" s="1"/>
      <c r="M102" s="1"/>
    </row>
    <row r="103" spans="1:23" ht="19" customHeight="1">
      <c r="C103" s="16" t="s">
        <v>283</v>
      </c>
      <c r="D103" s="16" t="s">
        <v>284</v>
      </c>
      <c r="E103" s="16" t="s">
        <v>285</v>
      </c>
      <c r="F103" s="16"/>
      <c r="G103" s="16"/>
      <c r="H103" s="16"/>
      <c r="I103" s="16"/>
      <c r="J103" s="16"/>
      <c r="K103" s="16"/>
      <c r="L103" s="16"/>
      <c r="M103" s="16"/>
    </row>
    <row r="104" spans="1:23" ht="19" customHeight="1">
      <c r="C104" s="1" t="s">
        <v>250</v>
      </c>
      <c r="D104" s="1" t="s">
        <v>251</v>
      </c>
      <c r="E104" s="1"/>
      <c r="F104" s="1"/>
      <c r="G104" s="1"/>
      <c r="H104" s="1"/>
      <c r="I104" s="1"/>
      <c r="J104" s="1"/>
      <c r="K104" s="1"/>
      <c r="L104" s="1"/>
      <c r="M104" s="1"/>
    </row>
    <row r="105" spans="1:23" ht="19" customHeight="1">
      <c r="C105" s="1" t="s">
        <v>252</v>
      </c>
      <c r="D105" s="1" t="s">
        <v>253</v>
      </c>
      <c r="E105" s="1"/>
      <c r="F105" s="1"/>
      <c r="G105" s="1"/>
      <c r="H105" s="1"/>
      <c r="I105" s="1"/>
      <c r="J105" s="1"/>
      <c r="K105" s="1"/>
      <c r="L105" s="1"/>
      <c r="M105" s="1"/>
    </row>
    <row r="106" spans="1:23" ht="19" customHeight="1">
      <c r="C106" s="1"/>
      <c r="D106" s="1"/>
      <c r="E106" s="1"/>
      <c r="F106" s="1"/>
      <c r="G106" s="1"/>
      <c r="H106" s="1"/>
      <c r="I106" s="1"/>
      <c r="J106" s="1"/>
      <c r="K106" s="1"/>
      <c r="L106" s="1"/>
      <c r="M106" s="1"/>
    </row>
    <row r="107" spans="1:23" ht="19" customHeight="1">
      <c r="C107" s="16" t="s">
        <v>286</v>
      </c>
      <c r="D107" s="16" t="s">
        <v>287</v>
      </c>
      <c r="E107" s="16" t="s">
        <v>288</v>
      </c>
      <c r="F107" s="16"/>
      <c r="G107" s="16"/>
      <c r="H107" s="16"/>
      <c r="I107" s="16"/>
      <c r="J107" s="16"/>
      <c r="K107" s="16"/>
      <c r="L107" s="16"/>
      <c r="M107" s="16"/>
    </row>
    <row r="108" spans="1:23" ht="19" customHeight="1">
      <c r="C108" s="1" t="s">
        <v>250</v>
      </c>
      <c r="D108" s="1" t="s">
        <v>289</v>
      </c>
      <c r="E108" s="1"/>
      <c r="F108" s="1"/>
      <c r="G108" s="1"/>
      <c r="H108" s="1"/>
      <c r="I108" s="1"/>
      <c r="J108" s="1"/>
      <c r="K108" s="1"/>
      <c r="L108" s="1"/>
      <c r="M108" s="1"/>
    </row>
    <row r="109" spans="1:23" ht="19" customHeight="1">
      <c r="C109" s="1" t="s">
        <v>252</v>
      </c>
      <c r="D109" s="1" t="s">
        <v>290</v>
      </c>
      <c r="E109" s="1"/>
      <c r="F109" s="1"/>
      <c r="G109" s="1"/>
      <c r="H109" s="1"/>
      <c r="I109" s="1"/>
      <c r="J109" s="1"/>
      <c r="K109" s="1"/>
      <c r="L109" s="1"/>
      <c r="M109" s="1"/>
    </row>
    <row r="110" spans="1:23" ht="19" customHeight="1">
      <c r="C110" s="1"/>
      <c r="D110" s="1"/>
      <c r="E110" s="1"/>
      <c r="F110" s="1"/>
      <c r="G110" s="1"/>
      <c r="H110" s="1"/>
      <c r="I110" s="1"/>
      <c r="J110" s="1"/>
      <c r="K110" s="1"/>
      <c r="L110" s="1"/>
      <c r="M110" s="1"/>
    </row>
    <row r="111" spans="1:23" ht="19" customHeight="1">
      <c r="C111" s="16" t="s">
        <v>291</v>
      </c>
      <c r="D111" s="16" t="s">
        <v>292</v>
      </c>
      <c r="E111" s="16" t="s">
        <v>293</v>
      </c>
      <c r="F111" s="16"/>
      <c r="G111" s="16"/>
      <c r="H111" s="16"/>
      <c r="I111" s="16"/>
      <c r="J111" s="16"/>
      <c r="K111" s="16"/>
      <c r="L111" s="16"/>
      <c r="M111" s="16"/>
    </row>
    <row r="112" spans="1:23" ht="19" customHeight="1">
      <c r="C112" s="1" t="s">
        <v>250</v>
      </c>
      <c r="D112" s="1" t="s">
        <v>251</v>
      </c>
      <c r="E112" s="1"/>
      <c r="F112" s="1"/>
      <c r="G112" s="1"/>
      <c r="H112" s="1"/>
      <c r="I112" s="1"/>
      <c r="J112" s="1"/>
      <c r="K112" s="1"/>
      <c r="L112" s="1"/>
      <c r="M112" s="1"/>
    </row>
    <row r="113" spans="3:13" ht="19" customHeight="1">
      <c r="C113" s="1" t="s">
        <v>252</v>
      </c>
      <c r="D113" s="1" t="s">
        <v>253</v>
      </c>
      <c r="E113" s="1"/>
      <c r="F113" s="1"/>
      <c r="G113" s="1"/>
      <c r="H113" s="1"/>
      <c r="I113" s="1"/>
      <c r="J113" s="1"/>
      <c r="K113" s="1"/>
      <c r="L113" s="1"/>
      <c r="M113" s="1"/>
    </row>
    <row r="114" spans="3:13" ht="19" customHeight="1">
      <c r="C114" s="1"/>
      <c r="D114" s="1"/>
      <c r="E114" s="1"/>
      <c r="F114" s="1"/>
      <c r="G114" s="1"/>
      <c r="H114" s="1"/>
      <c r="I114" s="1"/>
      <c r="J114" s="1"/>
      <c r="K114" s="1"/>
      <c r="L114" s="1"/>
      <c r="M114" s="1"/>
    </row>
    <row r="115" spans="3:13" ht="19" customHeight="1">
      <c r="C115" s="16" t="s">
        <v>294</v>
      </c>
      <c r="D115" s="16" t="s">
        <v>295</v>
      </c>
      <c r="E115" s="16" t="s">
        <v>296</v>
      </c>
      <c r="F115" s="16"/>
      <c r="G115" s="16"/>
      <c r="H115" s="16"/>
      <c r="I115" s="16"/>
      <c r="J115" s="16"/>
      <c r="K115" s="16"/>
      <c r="L115" s="16"/>
      <c r="M115" s="16"/>
    </row>
    <row r="116" spans="3:13" ht="19" customHeight="1">
      <c r="C116" s="1" t="s">
        <v>250</v>
      </c>
      <c r="D116" s="1" t="s">
        <v>297</v>
      </c>
      <c r="E116" s="1"/>
      <c r="F116" s="1"/>
      <c r="G116" s="1"/>
      <c r="H116" s="1"/>
      <c r="I116" s="1"/>
      <c r="J116" s="1"/>
      <c r="K116" s="1"/>
      <c r="L116" s="1"/>
      <c r="M116" s="1"/>
    </row>
    <row r="117" spans="3:13" ht="19" customHeight="1">
      <c r="C117" s="1" t="s">
        <v>252</v>
      </c>
      <c r="D117" s="1" t="s">
        <v>298</v>
      </c>
      <c r="E117" s="1"/>
      <c r="F117" s="1"/>
      <c r="G117" s="1"/>
      <c r="H117" s="1"/>
      <c r="I117" s="1"/>
      <c r="J117" s="1"/>
      <c r="K117" s="1"/>
      <c r="L117" s="1"/>
      <c r="M117" s="1"/>
    </row>
    <row r="118" spans="3:13" ht="19" customHeight="1">
      <c r="C118" s="1"/>
      <c r="D118" s="1"/>
      <c r="E118" s="1"/>
      <c r="F118" s="1"/>
      <c r="G118" s="1"/>
      <c r="H118" s="1"/>
      <c r="I118" s="1"/>
      <c r="J118" s="1"/>
      <c r="K118" s="1"/>
      <c r="L118" s="1"/>
      <c r="M118" s="1"/>
    </row>
    <row r="119" spans="3:13" ht="19" customHeight="1">
      <c r="C119" s="16" t="s">
        <v>299</v>
      </c>
      <c r="D119" s="16" t="s">
        <v>300</v>
      </c>
      <c r="E119" s="16" t="s">
        <v>301</v>
      </c>
      <c r="F119" s="16"/>
      <c r="G119" s="16"/>
      <c r="H119" s="16"/>
      <c r="I119" s="16"/>
      <c r="J119" s="16"/>
      <c r="K119" s="16"/>
      <c r="L119" s="16"/>
      <c r="M119" s="16"/>
    </row>
    <row r="120" spans="3:13" ht="19" customHeight="1">
      <c r="C120" s="1" t="s">
        <v>250</v>
      </c>
      <c r="D120" s="1" t="s">
        <v>302</v>
      </c>
      <c r="E120" s="1"/>
      <c r="F120" s="1"/>
      <c r="G120" s="1"/>
      <c r="H120" s="1"/>
      <c r="I120" s="1"/>
      <c r="J120" s="1"/>
      <c r="K120" s="1"/>
      <c r="L120" s="1"/>
      <c r="M120" s="1"/>
    </row>
    <row r="121" spans="3:13" ht="19" customHeight="1">
      <c r="C121" s="1" t="s">
        <v>252</v>
      </c>
      <c r="D121" s="1" t="s">
        <v>253</v>
      </c>
      <c r="E121" s="1"/>
      <c r="F121" s="1"/>
      <c r="G121" s="1"/>
      <c r="H121" s="1"/>
      <c r="I121" s="1"/>
      <c r="J121" s="1"/>
      <c r="K121" s="1"/>
      <c r="L121" s="1"/>
      <c r="M121" s="1"/>
    </row>
    <row r="122" spans="3:13" ht="19" customHeight="1">
      <c r="C122" s="1"/>
      <c r="D122" s="1"/>
      <c r="E122" s="1"/>
      <c r="F122" s="1"/>
      <c r="G122" s="1"/>
      <c r="H122" s="1"/>
      <c r="I122" s="1"/>
      <c r="J122" s="1"/>
      <c r="K122" s="1"/>
      <c r="L122" s="1"/>
      <c r="M122" s="1"/>
    </row>
    <row r="123" spans="3:13" ht="19" customHeight="1">
      <c r="C123" s="16" t="s">
        <v>303</v>
      </c>
      <c r="D123" s="16" t="s">
        <v>304</v>
      </c>
      <c r="E123" s="16" t="s">
        <v>305</v>
      </c>
      <c r="F123" s="16"/>
      <c r="G123" s="16"/>
      <c r="H123" s="16"/>
      <c r="I123" s="16"/>
      <c r="J123" s="16"/>
      <c r="K123" s="16"/>
      <c r="L123" s="16"/>
      <c r="M123" s="16"/>
    </row>
    <row r="124" spans="3:13" ht="19" customHeight="1">
      <c r="C124" s="1" t="s">
        <v>250</v>
      </c>
      <c r="D124" s="1" t="s">
        <v>306</v>
      </c>
      <c r="E124" s="1"/>
      <c r="F124" s="1"/>
      <c r="G124" s="1"/>
      <c r="H124" s="1"/>
      <c r="I124" s="1"/>
      <c r="J124" s="1"/>
      <c r="K124" s="1"/>
      <c r="L124" s="1"/>
      <c r="M124" s="1"/>
    </row>
    <row r="125" spans="3:13" ht="19" customHeight="1">
      <c r="C125" s="1" t="s">
        <v>252</v>
      </c>
      <c r="D125" s="1" t="s">
        <v>307</v>
      </c>
      <c r="E125" s="1"/>
      <c r="F125" s="1"/>
      <c r="G125" s="1"/>
      <c r="H125" s="1"/>
      <c r="I125" s="1"/>
      <c r="J125" s="1"/>
      <c r="K125" s="1"/>
      <c r="L125" s="1"/>
      <c r="M125" s="1"/>
    </row>
    <row r="126" spans="3:13" ht="19" customHeight="1">
      <c r="C126" s="1"/>
      <c r="D126" s="1"/>
      <c r="E126" s="1"/>
      <c r="F126" s="1"/>
      <c r="G126" s="1"/>
      <c r="H126" s="1"/>
      <c r="I126" s="1"/>
      <c r="J126" s="1"/>
      <c r="K126" s="1"/>
      <c r="L126" s="1"/>
      <c r="M126" s="1"/>
    </row>
    <row r="127" spans="3:13" ht="19" customHeight="1">
      <c r="C127" s="1"/>
      <c r="D127" s="1"/>
      <c r="E127" s="1"/>
      <c r="F127" s="1"/>
      <c r="G127" s="1"/>
      <c r="H127" s="1"/>
      <c r="I127" s="1"/>
      <c r="J127" s="1"/>
      <c r="K127" s="1"/>
      <c r="L127" s="1"/>
      <c r="M127" s="1"/>
    </row>
    <row r="128" spans="3:13" ht="19" customHeight="1">
      <c r="C128" s="1"/>
      <c r="D128" s="1"/>
      <c r="E128" s="1"/>
      <c r="F128" s="1"/>
      <c r="G128" s="1"/>
      <c r="H128" s="1"/>
      <c r="I128" s="1"/>
      <c r="J128" s="1"/>
      <c r="K128" s="1"/>
      <c r="L128" s="1"/>
      <c r="M128" s="1"/>
    </row>
    <row r="129" spans="3:13" ht="19" customHeight="1">
      <c r="C129" s="1"/>
      <c r="D129" s="1"/>
      <c r="E129" s="1"/>
      <c r="F129" s="1"/>
      <c r="G129" s="1"/>
      <c r="H129" s="1"/>
      <c r="I129" s="1"/>
      <c r="J129" s="1"/>
      <c r="K129" s="1"/>
      <c r="L129" s="1"/>
      <c r="M129" s="1"/>
    </row>
    <row r="130" spans="3:13" ht="19" customHeight="1">
      <c r="C130" s="1"/>
      <c r="D130" s="1"/>
      <c r="E130" s="1"/>
      <c r="F130" s="1"/>
      <c r="G130" s="1"/>
      <c r="H130" s="1"/>
      <c r="I130" s="1"/>
      <c r="J130" s="1"/>
      <c r="K130" s="1"/>
      <c r="L130" s="1"/>
      <c r="M130" s="1"/>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6A3AF"/>
  </sheetPr>
  <dimension ref="A1:W100"/>
  <sheetViews>
    <sheetView showGridLines="0" workbookViewId="0">
      <pane xSplit="3" ySplit="8" topLeftCell="D9" activePane="bottomRight" state="frozen"/>
      <selection pane="topRight"/>
      <selection pane="bottomLeft"/>
      <selection pane="bottomRight" activeCell="D9" sqref="D9"/>
    </sheetView>
  </sheetViews>
  <sheetFormatPr baseColWidth="10" defaultColWidth="8.83203125" defaultRowHeight="14"/>
  <cols>
    <col min="1" max="2" width="2" customWidth="1"/>
    <col min="3" max="3" width="48" customWidth="1"/>
    <col min="4" max="23" width="13" customWidth="1"/>
  </cols>
  <sheetData>
    <row r="1" spans="1:23" ht="19" customHeight="1">
      <c r="A1" s="2"/>
      <c r="B1" s="2"/>
      <c r="C1" s="2"/>
      <c r="D1" s="3"/>
      <c r="E1" s="3"/>
      <c r="F1" s="3"/>
      <c r="G1" s="3"/>
      <c r="H1" s="3"/>
      <c r="I1" s="3"/>
      <c r="J1" s="3"/>
      <c r="K1" s="3"/>
      <c r="L1" s="3"/>
      <c r="M1" s="3"/>
      <c r="N1" s="3"/>
      <c r="O1" s="3"/>
      <c r="P1" s="3"/>
      <c r="Q1" s="3"/>
      <c r="R1" s="3"/>
      <c r="S1" s="3"/>
      <c r="T1" s="3"/>
      <c r="U1" s="3"/>
      <c r="V1" s="3"/>
      <c r="W1" s="3"/>
    </row>
    <row r="2" spans="1:23" ht="19" customHeight="1">
      <c r="A2" s="2"/>
      <c r="B2" s="2"/>
      <c r="C2" s="4" t="s">
        <v>308</v>
      </c>
      <c r="D2" s="3"/>
      <c r="E2" s="3"/>
      <c r="F2" s="3"/>
      <c r="G2" s="3"/>
      <c r="H2" s="3"/>
      <c r="I2" s="3"/>
      <c r="J2" s="3"/>
      <c r="K2" s="3"/>
      <c r="L2" s="3"/>
      <c r="M2" s="3"/>
      <c r="N2" s="3"/>
      <c r="O2" s="3"/>
      <c r="P2" s="3"/>
      <c r="Q2" s="3"/>
      <c r="R2" s="3"/>
      <c r="S2" s="3"/>
      <c r="T2" s="3"/>
      <c r="U2" s="3"/>
      <c r="V2" s="3"/>
      <c r="W2" s="3"/>
    </row>
    <row r="3" spans="1:23" ht="19" customHeight="1">
      <c r="A3" s="2"/>
      <c r="B3" s="2"/>
      <c r="C3" s="5"/>
      <c r="D3" s="6"/>
      <c r="E3" s="6"/>
      <c r="F3" s="6"/>
      <c r="G3" s="6"/>
      <c r="H3" s="6"/>
      <c r="I3" s="6"/>
      <c r="J3" s="6"/>
      <c r="K3" s="6"/>
      <c r="L3" s="3"/>
      <c r="M3" s="3"/>
      <c r="N3" s="3"/>
      <c r="O3" s="3"/>
      <c r="P3" s="3"/>
      <c r="Q3" s="3"/>
      <c r="R3" s="3"/>
      <c r="S3" s="3"/>
      <c r="T3" s="3"/>
      <c r="U3" s="3"/>
      <c r="V3" s="3"/>
      <c r="W3" s="3"/>
    </row>
    <row r="4" spans="1:23" ht="19" customHeight="1">
      <c r="A4" s="2"/>
      <c r="B4" s="2"/>
      <c r="C4" s="2" t="s">
        <v>1</v>
      </c>
      <c r="D4" s="8" t="str">
        <f>Assumptions!$E$4</f>
        <v>Base</v>
      </c>
      <c r="E4" s="9"/>
      <c r="F4" s="10"/>
      <c r="G4" s="3"/>
      <c r="H4" s="3"/>
      <c r="I4" s="3"/>
      <c r="J4" s="3"/>
      <c r="K4" s="3"/>
      <c r="L4" s="3"/>
      <c r="M4" s="3"/>
      <c r="N4" s="3"/>
      <c r="O4" s="3"/>
      <c r="P4" s="3"/>
      <c r="Q4" s="3"/>
      <c r="R4" s="3"/>
      <c r="S4" s="3"/>
      <c r="T4" s="3"/>
      <c r="U4" s="3"/>
      <c r="V4" s="3"/>
      <c r="W4" s="3"/>
    </row>
    <row r="5" spans="1:23" ht="19" customHeight="1">
      <c r="A5" s="2"/>
      <c r="B5" s="2"/>
      <c r="C5" s="2" t="s">
        <v>309</v>
      </c>
      <c r="D5" s="3"/>
      <c r="E5" s="3"/>
      <c r="F5" s="3"/>
      <c r="G5" s="3"/>
      <c r="H5" s="3"/>
      <c r="I5" s="3"/>
      <c r="J5" s="3"/>
      <c r="K5" s="3"/>
      <c r="L5" s="3"/>
      <c r="M5" s="3"/>
      <c r="N5" s="3"/>
      <c r="O5" s="3"/>
      <c r="P5" s="3"/>
      <c r="Q5" s="3"/>
      <c r="R5" s="3"/>
      <c r="S5" s="3"/>
      <c r="T5" s="3"/>
      <c r="U5" s="3"/>
      <c r="V5" s="3"/>
      <c r="W5" s="3"/>
    </row>
    <row r="6" spans="1:23" ht="19" customHeight="1">
      <c r="A6" s="2"/>
      <c r="B6" s="2"/>
      <c r="C6" s="2"/>
      <c r="D6" s="3"/>
      <c r="E6" s="3"/>
      <c r="F6" s="3"/>
      <c r="G6" s="3"/>
      <c r="H6" s="3"/>
      <c r="I6" s="3"/>
      <c r="J6" s="3"/>
      <c r="K6" s="3"/>
      <c r="L6" s="3"/>
      <c r="M6" s="3"/>
      <c r="N6" s="3"/>
      <c r="O6" s="3"/>
      <c r="P6" s="3"/>
      <c r="Q6" s="3"/>
      <c r="R6" s="3"/>
      <c r="S6" s="3"/>
      <c r="T6" s="3"/>
      <c r="U6" s="3"/>
      <c r="V6" s="3"/>
      <c r="W6" s="3"/>
    </row>
    <row r="7" spans="1:23" ht="19" customHeight="1">
      <c r="A7" s="2"/>
      <c r="B7" s="2"/>
      <c r="C7" s="11" t="s">
        <v>310</v>
      </c>
      <c r="D7" s="12"/>
      <c r="E7" s="12"/>
      <c r="F7" s="12"/>
      <c r="G7" s="12"/>
      <c r="H7" s="12"/>
      <c r="I7" s="12"/>
      <c r="J7" s="12"/>
      <c r="K7" s="12"/>
      <c r="L7" s="12"/>
      <c r="M7" s="12"/>
      <c r="N7" s="12"/>
      <c r="O7" s="12"/>
      <c r="P7" s="12"/>
      <c r="Q7" s="12"/>
      <c r="R7" s="3"/>
      <c r="S7" s="3"/>
      <c r="T7" s="3"/>
      <c r="U7" s="3"/>
      <c r="V7" s="3"/>
      <c r="W7" s="3"/>
    </row>
    <row r="8" spans="1:23" ht="19" customHeight="1">
      <c r="A8" s="2"/>
      <c r="B8" s="2"/>
      <c r="C8" s="2"/>
      <c r="D8" s="3" t="s">
        <v>62</v>
      </c>
      <c r="E8" s="3" t="s">
        <v>63</v>
      </c>
      <c r="F8" s="3" t="s">
        <v>64</v>
      </c>
      <c r="G8" s="3" t="s">
        <v>65</v>
      </c>
      <c r="H8" s="3" t="s">
        <v>66</v>
      </c>
      <c r="I8" s="3" t="s">
        <v>67</v>
      </c>
      <c r="J8" s="3" t="s">
        <v>68</v>
      </c>
      <c r="K8" s="3" t="s">
        <v>69</v>
      </c>
      <c r="L8" s="3" t="s">
        <v>70</v>
      </c>
      <c r="M8" s="3" t="s">
        <v>71</v>
      </c>
      <c r="N8" s="3" t="s">
        <v>72</v>
      </c>
      <c r="O8" s="3" t="s">
        <v>73</v>
      </c>
      <c r="P8" s="3" t="s">
        <v>74</v>
      </c>
      <c r="Q8" s="3" t="s">
        <v>75</v>
      </c>
      <c r="R8" s="3"/>
      <c r="S8" s="3"/>
      <c r="T8" s="3"/>
      <c r="U8" s="3"/>
      <c r="V8" s="3"/>
      <c r="W8" s="3"/>
    </row>
    <row r="9" spans="1:23" ht="19" customHeight="1">
      <c r="A9" s="2"/>
      <c r="B9" s="2"/>
      <c r="C9" s="2" t="s">
        <v>311</v>
      </c>
      <c r="D9" s="56">
        <f>ROUND('Fee engine'!D17-Disclosures!D13,8)</f>
        <v>0</v>
      </c>
      <c r="E9" s="56">
        <f>ROUND('Fee engine'!E17-Disclosures!E13,8)</f>
        <v>0</v>
      </c>
      <c r="F9" s="56">
        <f>ROUND('Fee engine'!F17-Disclosures!F13,8)</f>
        <v>0</v>
      </c>
      <c r="G9" s="56">
        <f>ROUND('Fee engine'!G17-Disclosures!G13,8)</f>
        <v>0</v>
      </c>
      <c r="H9" s="56">
        <f>ROUND('Fee engine'!H17-Disclosures!H13,8)</f>
        <v>0</v>
      </c>
      <c r="I9" s="56">
        <f>ROUND('Fee engine'!I17-Disclosures!I13,8)</f>
        <v>0</v>
      </c>
      <c r="J9" s="56">
        <f>ROUND('Fee engine'!J17-Disclosures!J13,8)</f>
        <v>0</v>
      </c>
      <c r="K9" s="56">
        <f>ROUND('Fee engine'!K17-Disclosures!K13,8)</f>
        <v>0</v>
      </c>
      <c r="L9" s="56">
        <f>ROUND('Fee engine'!L17-Disclosures!L13,8)</f>
        <v>0</v>
      </c>
      <c r="M9" s="56">
        <f>ROUND('Fee engine'!M17-Disclosures!M13,8)</f>
        <v>0</v>
      </c>
      <c r="N9" s="56">
        <f>ROUND('Fee engine'!N17-Disclosures!N13,8)</f>
        <v>0</v>
      </c>
      <c r="O9" s="56">
        <f>ROUND('Fee engine'!O17-Disclosures!O13,8)</f>
        <v>0</v>
      </c>
      <c r="P9" s="56">
        <f>ROUND('Fee engine'!P17-Disclosures!P13,8)</f>
        <v>0</v>
      </c>
      <c r="Q9" s="56">
        <f>ROUND('Fee engine'!Q17-Disclosures!Q13,8)</f>
        <v>0</v>
      </c>
      <c r="R9" s="3"/>
      <c r="S9" s="3"/>
      <c r="T9" s="3"/>
      <c r="U9" s="3"/>
      <c r="V9" s="3"/>
      <c r="W9" s="3"/>
    </row>
    <row r="10" spans="1:23" ht="19" customHeight="1">
      <c r="A10" s="2"/>
      <c r="B10" s="2"/>
      <c r="C10" s="2" t="s">
        <v>312</v>
      </c>
      <c r="D10" s="56">
        <f>ROUND(SUM('Fee engine'!D13:D16)-Disclosures!D12,8)</f>
        <v>0</v>
      </c>
      <c r="E10" s="56">
        <f>ROUND(SUM('Fee engine'!E13:E16)-Disclosures!E12,8)</f>
        <v>0</v>
      </c>
      <c r="F10" s="56">
        <f>ROUND(SUM('Fee engine'!F13:F16)-Disclosures!F12,8)</f>
        <v>0</v>
      </c>
      <c r="G10" s="56">
        <f>ROUND(SUM('Fee engine'!G13:G16)-Disclosures!G12,8)</f>
        <v>0</v>
      </c>
      <c r="H10" s="56">
        <f>ROUND(SUM('Fee engine'!H13:H16)-Disclosures!H12,8)</f>
        <v>0</v>
      </c>
      <c r="I10" s="56">
        <f>ROUND(SUM('Fee engine'!I13:I16)-Disclosures!I12,8)</f>
        <v>0</v>
      </c>
      <c r="J10" s="56">
        <f>ROUND(SUM('Fee engine'!J13:J16)-Disclosures!J12,8)</f>
        <v>0</v>
      </c>
      <c r="K10" s="56">
        <f>ROUND(SUM('Fee engine'!K13:K16)-Disclosures!K12,8)</f>
        <v>0</v>
      </c>
      <c r="L10" s="56">
        <f>ROUND(SUM('Fee engine'!L13:L16)-Disclosures!L12,8)</f>
        <v>0</v>
      </c>
      <c r="M10" s="56">
        <f>ROUND(SUM('Fee engine'!M13:M16)-Disclosures!M12,8)</f>
        <v>0</v>
      </c>
      <c r="N10" s="56">
        <f>ROUND(SUM('Fee engine'!N13:N16)-Disclosures!N12,8)</f>
        <v>0</v>
      </c>
      <c r="O10" s="56">
        <f>ROUND(SUM('Fee engine'!O13:O16)-Disclosures!O12,8)</f>
        <v>0</v>
      </c>
      <c r="P10" s="56">
        <f>ROUND(SUM('Fee engine'!P13:P16)-Disclosures!P12,8)</f>
        <v>0</v>
      </c>
      <c r="Q10" s="56">
        <f>ROUND(SUM('Fee engine'!Q13:Q16)-Disclosures!Q12,8)</f>
        <v>0</v>
      </c>
      <c r="R10" s="3"/>
      <c r="S10" s="3"/>
      <c r="T10" s="3"/>
      <c r="U10" s="3"/>
      <c r="V10" s="3"/>
      <c r="W10" s="3"/>
    </row>
    <row r="11" spans="1:23" ht="19" customHeight="1">
      <c r="A11" s="2"/>
      <c r="B11" s="2"/>
      <c r="C11" s="2"/>
      <c r="D11" s="3"/>
      <c r="E11" s="3"/>
      <c r="F11" s="3"/>
      <c r="G11" s="3"/>
      <c r="H11" s="3"/>
      <c r="I11" s="3"/>
      <c r="J11" s="3"/>
      <c r="K11" s="3"/>
      <c r="L11" s="3"/>
      <c r="M11" s="3"/>
      <c r="N11" s="3"/>
      <c r="O11" s="3"/>
      <c r="P11" s="3"/>
      <c r="Q11" s="3"/>
      <c r="R11" s="3"/>
      <c r="S11" s="3"/>
      <c r="T11" s="3"/>
      <c r="U11" s="3"/>
      <c r="V11" s="3"/>
      <c r="W11" s="3"/>
    </row>
    <row r="12" spans="1:23" ht="19" customHeight="1">
      <c r="A12" s="2"/>
      <c r="B12" s="2"/>
      <c r="C12" s="2"/>
      <c r="D12" s="3"/>
      <c r="E12" s="3"/>
      <c r="F12" s="3"/>
      <c r="G12" s="3"/>
      <c r="H12" s="3"/>
      <c r="I12" s="3"/>
      <c r="J12" s="3"/>
      <c r="K12" s="3"/>
      <c r="L12" s="3"/>
      <c r="M12" s="3"/>
      <c r="N12" s="3"/>
      <c r="O12" s="3"/>
      <c r="P12" s="3"/>
      <c r="Q12" s="3"/>
      <c r="R12" s="3"/>
      <c r="S12" s="3"/>
      <c r="T12" s="3"/>
      <c r="U12" s="3"/>
      <c r="V12" s="3"/>
      <c r="W12" s="3"/>
    </row>
    <row r="13" spans="1:23" ht="19" customHeight="1">
      <c r="A13" s="2"/>
      <c r="B13" s="2"/>
      <c r="C13" s="11" t="s">
        <v>313</v>
      </c>
      <c r="D13" s="12"/>
      <c r="E13" s="12"/>
      <c r="F13" s="12"/>
      <c r="G13" s="12"/>
      <c r="H13" s="12"/>
      <c r="I13" s="12"/>
      <c r="J13" s="12"/>
      <c r="K13" s="3"/>
      <c r="L13" s="3"/>
      <c r="M13" s="3"/>
      <c r="N13" s="3"/>
      <c r="O13" s="3"/>
      <c r="P13" s="3"/>
      <c r="Q13" s="3"/>
      <c r="R13" s="3"/>
      <c r="S13" s="3"/>
      <c r="T13" s="3"/>
      <c r="U13" s="3"/>
      <c r="V13" s="3"/>
      <c r="W13" s="3"/>
    </row>
    <row r="14" spans="1:23" ht="19" customHeight="1">
      <c r="A14" s="2"/>
      <c r="B14" s="2"/>
      <c r="C14" s="2"/>
      <c r="D14" s="3" t="s">
        <v>3</v>
      </c>
      <c r="E14" s="3" t="s">
        <v>4</v>
      </c>
      <c r="F14" s="3" t="s">
        <v>5</v>
      </c>
      <c r="G14" s="3" t="s">
        <v>6</v>
      </c>
      <c r="H14" s="3" t="s">
        <v>7</v>
      </c>
      <c r="I14" s="3" t="s">
        <v>8</v>
      </c>
      <c r="J14" s="3" t="s">
        <v>9</v>
      </c>
      <c r="K14" s="3"/>
      <c r="L14" s="3"/>
      <c r="M14" s="3"/>
      <c r="N14" s="3"/>
      <c r="O14" s="3"/>
      <c r="P14" s="3"/>
      <c r="Q14" s="3"/>
      <c r="R14" s="3"/>
      <c r="S14" s="3"/>
      <c r="T14" s="3"/>
      <c r="U14" s="3"/>
      <c r="V14" s="3"/>
      <c r="W14" s="3"/>
    </row>
    <row r="15" spans="1:23" ht="19" customHeight="1">
      <c r="A15" s="2"/>
      <c r="B15" s="2"/>
      <c r="C15" s="2" t="s">
        <v>138</v>
      </c>
      <c r="D15" s="56">
        <f>ROUND('Fee engine'!D95-Disclosures!D22,8)</f>
        <v>0</v>
      </c>
      <c r="E15" s="56">
        <f>ROUND('Fee engine'!E95-Disclosures!E22,8)</f>
        <v>0</v>
      </c>
      <c r="F15" s="56">
        <f>ROUND('Fee engine'!F95-Disclosures!F22,8)</f>
        <v>0</v>
      </c>
      <c r="G15" s="56">
        <f>ROUND('Fee engine'!G95-Disclosures!G22,8)</f>
        <v>0</v>
      </c>
      <c r="H15" s="56">
        <f>ROUND('Fee engine'!H95-Disclosures!H22,8)</f>
        <v>0</v>
      </c>
      <c r="I15" s="56">
        <f>ROUND('Fee engine'!I95-Disclosures!I22,8)</f>
        <v>0</v>
      </c>
      <c r="J15" s="56">
        <f>ROUND('Fee engine'!J95-Disclosures!J22,8)</f>
        <v>0</v>
      </c>
      <c r="K15" s="3"/>
      <c r="L15" s="3"/>
      <c r="M15" s="3"/>
      <c r="N15" s="3"/>
      <c r="O15" s="3"/>
      <c r="P15" s="3"/>
      <c r="Q15" s="3"/>
      <c r="R15" s="3"/>
      <c r="S15" s="3"/>
      <c r="T15" s="3"/>
      <c r="U15" s="3"/>
      <c r="V15" s="3"/>
      <c r="W15" s="3"/>
    </row>
    <row r="16" spans="1:23" ht="19" customHeight="1">
      <c r="A16" s="2"/>
      <c r="B16" s="2"/>
      <c r="C16" s="2" t="s">
        <v>38</v>
      </c>
      <c r="D16" s="56">
        <f>ROUND('Fee engine'!D96-Disclosures!D23,8)</f>
        <v>0</v>
      </c>
      <c r="E16" s="56">
        <f>ROUND('Fee engine'!E96-Disclosures!E23,8)</f>
        <v>0</v>
      </c>
      <c r="F16" s="56">
        <f>ROUND('Fee engine'!F96-Disclosures!F23,8)</f>
        <v>0</v>
      </c>
      <c r="G16" s="56">
        <f>ROUND('Fee engine'!G96-Disclosures!G23,8)</f>
        <v>0</v>
      </c>
      <c r="H16" s="56">
        <f>ROUND('Fee engine'!H96-Disclosures!H23,8)</f>
        <v>0</v>
      </c>
      <c r="I16" s="56">
        <f>ROUND('Fee engine'!I96-Disclosures!I23,8)</f>
        <v>0</v>
      </c>
      <c r="J16" s="56">
        <f>ROUND('Fee engine'!J96-Disclosures!J23,8)</f>
        <v>0</v>
      </c>
      <c r="K16" s="3"/>
      <c r="L16" s="3"/>
      <c r="M16" s="3"/>
      <c r="N16" s="3"/>
      <c r="O16" s="3"/>
      <c r="P16" s="3"/>
      <c r="Q16" s="3"/>
      <c r="R16" s="3"/>
      <c r="S16" s="3"/>
      <c r="T16" s="3"/>
      <c r="U16" s="3"/>
      <c r="V16" s="3"/>
      <c r="W16" s="3"/>
    </row>
    <row r="17" spans="1:23" ht="19" customHeight="1">
      <c r="A17" s="2"/>
      <c r="B17" s="2"/>
      <c r="C17" s="2" t="s">
        <v>314</v>
      </c>
      <c r="D17" s="56">
        <f>ROUND('Fee engine'!D97-Disclosures!D24,8)</f>
        <v>0</v>
      </c>
      <c r="E17" s="56">
        <f>ROUND('Fee engine'!E97-Disclosures!E24,8)</f>
        <v>0</v>
      </c>
      <c r="F17" s="56">
        <f>ROUND('Fee engine'!F97-Disclosures!F24,8)</f>
        <v>0</v>
      </c>
      <c r="G17" s="56">
        <f>ROUND('Fee engine'!G97-Disclosures!G24,8)</f>
        <v>0</v>
      </c>
      <c r="H17" s="56">
        <f>ROUND('Fee engine'!H97-Disclosures!H24,8)</f>
        <v>0</v>
      </c>
      <c r="I17" s="56">
        <f>ROUND('Fee engine'!I97-Disclosures!I24,8)</f>
        <v>0</v>
      </c>
      <c r="J17" s="56">
        <f>ROUND('Fee engine'!J97-Disclosures!J24,8)</f>
        <v>0</v>
      </c>
      <c r="K17" s="3"/>
      <c r="L17" s="3"/>
      <c r="M17" s="3"/>
      <c r="N17" s="3"/>
      <c r="O17" s="3"/>
      <c r="P17" s="3"/>
      <c r="Q17" s="3"/>
      <c r="R17" s="3"/>
      <c r="S17" s="3"/>
      <c r="T17" s="3"/>
      <c r="U17" s="3"/>
      <c r="V17" s="3"/>
      <c r="W17" s="3"/>
    </row>
    <row r="18" spans="1:23" ht="19" customHeight="1">
      <c r="A18" s="2"/>
      <c r="B18" s="2"/>
      <c r="C18" s="2" t="s">
        <v>141</v>
      </c>
      <c r="D18" s="56">
        <f>ROUND('Fee engine'!D98-Disclosures!D25,8)</f>
        <v>0</v>
      </c>
      <c r="E18" s="56">
        <f>ROUND('Fee engine'!E98-Disclosures!E25,8)</f>
        <v>0</v>
      </c>
      <c r="F18" s="56">
        <f>ROUND('Fee engine'!F98-Disclosures!F25,8)</f>
        <v>0</v>
      </c>
      <c r="G18" s="56">
        <f>ROUND('Fee engine'!G98-Disclosures!G25,8)</f>
        <v>0</v>
      </c>
      <c r="H18" s="56">
        <f>ROUND('Fee engine'!H98-Disclosures!H25,8)</f>
        <v>0</v>
      </c>
      <c r="I18" s="56">
        <f>ROUND('Fee engine'!I98-Disclosures!I25,8)</f>
        <v>0</v>
      </c>
      <c r="J18" s="56">
        <f>ROUND('Fee engine'!J98-Disclosures!J25,8)</f>
        <v>0</v>
      </c>
      <c r="K18" s="3"/>
      <c r="L18" s="3"/>
      <c r="M18" s="3"/>
      <c r="N18" s="3"/>
      <c r="O18" s="3"/>
      <c r="P18" s="3"/>
      <c r="Q18" s="3"/>
      <c r="R18" s="3"/>
      <c r="S18" s="3"/>
      <c r="T18" s="3"/>
      <c r="U18" s="3"/>
      <c r="V18" s="3"/>
      <c r="W18" s="3"/>
    </row>
    <row r="19" spans="1:23" ht="19" customHeight="1">
      <c r="A19" s="2"/>
      <c r="B19" s="2"/>
      <c r="C19" s="2" t="s">
        <v>315</v>
      </c>
      <c r="D19" s="56">
        <f>ROUND('Fee engine'!D102-Disclosures!D36,8)</f>
        <v>0</v>
      </c>
      <c r="E19" s="56">
        <f>ROUND('Fee engine'!E102-Disclosures!E36,8)</f>
        <v>0</v>
      </c>
      <c r="F19" s="56">
        <f>ROUND('Fee engine'!F102-Disclosures!F36,8)</f>
        <v>0</v>
      </c>
      <c r="G19" s="56">
        <f>ROUND('Fee engine'!G102-Disclosures!G36,8)</f>
        <v>0</v>
      </c>
      <c r="H19" s="56">
        <f>ROUND('Fee engine'!H102-Disclosures!H36,8)</f>
        <v>0</v>
      </c>
      <c r="I19" s="56">
        <f>ROUND('Fee engine'!I102-Disclosures!I36,8)</f>
        <v>0</v>
      </c>
      <c r="J19" s="56">
        <f>ROUND('Fee engine'!J102-Disclosures!J36,8)</f>
        <v>0</v>
      </c>
      <c r="K19" s="3"/>
      <c r="L19" s="3"/>
      <c r="M19" s="3"/>
      <c r="N19" s="3"/>
      <c r="O19" s="3"/>
      <c r="P19" s="3"/>
      <c r="Q19" s="3"/>
      <c r="R19" s="3"/>
      <c r="S19" s="3"/>
      <c r="T19" s="3"/>
      <c r="U19" s="3"/>
      <c r="V19" s="3"/>
      <c r="W19" s="3"/>
    </row>
    <row r="20" spans="1:23" ht="19" customHeight="1">
      <c r="A20" s="2"/>
      <c r="B20" s="2"/>
      <c r="C20" s="2" t="s">
        <v>316</v>
      </c>
      <c r="D20" s="56">
        <f>ROUND('Fee engine'!D103-Disclosures!D37,8)</f>
        <v>0</v>
      </c>
      <c r="E20" s="56">
        <f>ROUND('Fee engine'!E103-Disclosures!E37,8)</f>
        <v>0</v>
      </c>
      <c r="F20" s="56">
        <f>ROUND('Fee engine'!F103-Disclosures!F37,8)</f>
        <v>0</v>
      </c>
      <c r="G20" s="56">
        <f>ROUND('Fee engine'!G103-Disclosures!G37,8)</f>
        <v>0</v>
      </c>
      <c r="H20" s="56">
        <f>ROUND('Fee engine'!H103-Disclosures!H37,8)</f>
        <v>0</v>
      </c>
      <c r="I20" s="56">
        <f>ROUND('Fee engine'!I103-Disclosures!I37,8)</f>
        <v>0</v>
      </c>
      <c r="J20" s="56">
        <f>ROUND('Fee engine'!J103-Disclosures!J37,8)</f>
        <v>0</v>
      </c>
      <c r="K20" s="3"/>
      <c r="L20" s="3"/>
      <c r="M20" s="3"/>
      <c r="N20" s="3"/>
      <c r="O20" s="3"/>
      <c r="P20" s="3"/>
      <c r="Q20" s="3"/>
      <c r="R20" s="3"/>
      <c r="S20" s="3"/>
      <c r="T20" s="3"/>
      <c r="U20" s="3"/>
      <c r="V20" s="3"/>
      <c r="W20" s="3"/>
    </row>
    <row r="21" spans="1:23" ht="19" customHeight="1">
      <c r="A21" s="2"/>
      <c r="B21" s="2"/>
      <c r="C21" s="2" t="s">
        <v>317</v>
      </c>
      <c r="D21" s="56">
        <f>ROUND('Fee engine'!D104-Disclosures!D38,8)</f>
        <v>0</v>
      </c>
      <c r="E21" s="56">
        <f>ROUND('Fee engine'!E104-Disclosures!E38,8)</f>
        <v>0</v>
      </c>
      <c r="F21" s="56">
        <f>ROUND('Fee engine'!F104-Disclosures!F38,8)</f>
        <v>0</v>
      </c>
      <c r="G21" s="56">
        <f>ROUND('Fee engine'!G104-Disclosures!G38,8)</f>
        <v>0</v>
      </c>
      <c r="H21" s="56">
        <f>ROUND('Fee engine'!H104-Disclosures!H38,8)</f>
        <v>0</v>
      </c>
      <c r="I21" s="56">
        <f>ROUND('Fee engine'!I104-Disclosures!I38,8)</f>
        <v>0</v>
      </c>
      <c r="J21" s="56">
        <f>ROUND('Fee engine'!J104-Disclosures!J38,8)</f>
        <v>0</v>
      </c>
      <c r="K21" s="3"/>
      <c r="L21" s="3"/>
      <c r="M21" s="3"/>
      <c r="N21" s="3"/>
      <c r="O21" s="3"/>
      <c r="P21" s="3"/>
      <c r="Q21" s="3"/>
      <c r="R21" s="3"/>
      <c r="S21" s="3"/>
      <c r="T21" s="3"/>
      <c r="U21" s="3"/>
      <c r="V21" s="3"/>
      <c r="W21" s="3"/>
    </row>
    <row r="22" spans="1:23" ht="19" customHeight="1">
      <c r="A22" s="2"/>
      <c r="B22" s="2"/>
      <c r="C22" s="2" t="s">
        <v>163</v>
      </c>
      <c r="D22" s="56">
        <f>ROUND(-'Fee engine'!D105-Disclosures!D39,8)</f>
        <v>0</v>
      </c>
      <c r="E22" s="56">
        <f>ROUND(-'Fee engine'!E105-Disclosures!E39,8)</f>
        <v>0</v>
      </c>
      <c r="F22" s="56">
        <f>ROUND(-'Fee engine'!F105-Disclosures!F39,8)</f>
        <v>0</v>
      </c>
      <c r="G22" s="56">
        <f>ROUND(-'Fee engine'!G105-Disclosures!G39,8)</f>
        <v>0</v>
      </c>
      <c r="H22" s="56">
        <f>ROUND(-'Fee engine'!H105-Disclosures!H39,8)</f>
        <v>0</v>
      </c>
      <c r="I22" s="56">
        <f>ROUND(-'Fee engine'!I105-Disclosures!I39,8)</f>
        <v>0</v>
      </c>
      <c r="J22" s="56">
        <f>ROUND(-'Fee engine'!J105-Disclosures!J39,8)</f>
        <v>0</v>
      </c>
      <c r="K22" s="3"/>
      <c r="L22" s="3"/>
      <c r="M22" s="3"/>
      <c r="N22" s="3"/>
      <c r="O22" s="3"/>
      <c r="P22" s="3"/>
      <c r="Q22" s="3"/>
      <c r="R22" s="3"/>
      <c r="S22" s="3"/>
      <c r="T22" s="3"/>
      <c r="U22" s="3"/>
      <c r="V22" s="3"/>
      <c r="W22" s="3"/>
    </row>
    <row r="23" spans="1:23" ht="19" customHeight="1">
      <c r="A23" s="2"/>
      <c r="B23" s="2"/>
      <c r="C23" s="2" t="s">
        <v>164</v>
      </c>
      <c r="D23" s="56">
        <f>ROUND('Fee engine'!D106-Disclosures!D40,8)</f>
        <v>0</v>
      </c>
      <c r="E23" s="56">
        <f>ROUND('Fee engine'!E106-Disclosures!E40,8)</f>
        <v>0</v>
      </c>
      <c r="F23" s="56">
        <f>ROUND('Fee engine'!F106-Disclosures!F40,8)</f>
        <v>0</v>
      </c>
      <c r="G23" s="56">
        <f>ROUND('Fee engine'!G106-Disclosures!G40,8)</f>
        <v>0</v>
      </c>
      <c r="H23" s="56">
        <f>ROUND('Fee engine'!H106-Disclosures!H40,8)</f>
        <v>0</v>
      </c>
      <c r="I23" s="56">
        <f>ROUND('Fee engine'!I106-Disclosures!I40,8)</f>
        <v>0</v>
      </c>
      <c r="J23" s="56">
        <f>ROUND('Fee engine'!J106-Disclosures!J40,8)</f>
        <v>0</v>
      </c>
      <c r="K23" s="3"/>
      <c r="L23" s="3"/>
      <c r="M23" s="3"/>
      <c r="N23" s="3"/>
      <c r="O23" s="3"/>
      <c r="P23" s="3"/>
      <c r="Q23" s="3"/>
      <c r="R23" s="3"/>
      <c r="S23" s="3"/>
      <c r="T23" s="3"/>
      <c r="U23" s="3"/>
      <c r="V23" s="3"/>
      <c r="W23" s="3"/>
    </row>
    <row r="24" spans="1:23" ht="19" customHeight="1">
      <c r="A24" s="2"/>
      <c r="B24" s="2"/>
      <c r="C24" s="2" t="s">
        <v>318</v>
      </c>
      <c r="D24" s="56">
        <f>ROUND('Fee engine'!D107-Disclosures!D41,8)</f>
        <v>0</v>
      </c>
      <c r="E24" s="56">
        <f>ROUND('Fee engine'!E107-Disclosures!E41,8)</f>
        <v>0</v>
      </c>
      <c r="F24" s="56">
        <f>ROUND('Fee engine'!F107-Disclosures!F41,8)</f>
        <v>0</v>
      </c>
      <c r="G24" s="56">
        <f>ROUND('Fee engine'!G107-Disclosures!G41,8)</f>
        <v>0</v>
      </c>
      <c r="H24" s="56">
        <f>ROUND('Fee engine'!H107-Disclosures!H41,8)</f>
        <v>0</v>
      </c>
      <c r="I24" s="56">
        <f>ROUND('Fee engine'!I107-Disclosures!I41,8)</f>
        <v>0</v>
      </c>
      <c r="J24" s="56">
        <f>ROUND('Fee engine'!J107-Disclosures!J41,8)</f>
        <v>0</v>
      </c>
      <c r="K24" s="3"/>
      <c r="L24" s="3"/>
      <c r="M24" s="3"/>
      <c r="N24" s="3"/>
      <c r="O24" s="3"/>
      <c r="P24" s="3"/>
      <c r="Q24" s="3"/>
      <c r="R24" s="3"/>
      <c r="S24" s="3"/>
      <c r="T24" s="3"/>
      <c r="U24" s="3"/>
      <c r="V24" s="3"/>
      <c r="W24" s="3"/>
    </row>
    <row r="25" spans="1:23" ht="19" customHeight="1">
      <c r="A25" s="2"/>
      <c r="B25" s="2"/>
      <c r="C25" s="2" t="s">
        <v>319</v>
      </c>
      <c r="D25" s="56">
        <f>ROUND('Fee engine'!D108-Disclosures!D42,8)</f>
        <v>-2.5718979999999999E-2</v>
      </c>
      <c r="E25" s="56">
        <f>ROUND('Fee engine'!E108-Disclosures!E42,8)</f>
        <v>5.1329949999999999E-2</v>
      </c>
      <c r="F25" s="56">
        <f>ROUND('Fee engine'!F108-Disclosures!F42,8)</f>
        <v>1.4093960000000001E-2</v>
      </c>
      <c r="G25" s="56">
        <f>ROUND('Fee engine'!G108-Disclosures!G42,8)</f>
        <v>-5.8309670000000001E-2</v>
      </c>
      <c r="H25" s="56">
        <f>ROUND('Fee engine'!H108-Disclosures!H42,8)</f>
        <v>-2.5342469999999999E-2</v>
      </c>
      <c r="I25" s="56">
        <f>ROUND('Fee engine'!I108-Disclosures!I42,8)</f>
        <v>-4.345123E-2</v>
      </c>
      <c r="J25" s="56">
        <f>ROUND('Fee engine'!J108-Disclosures!J42,8)</f>
        <v>4.7961839999999999E-2</v>
      </c>
      <c r="K25" s="3"/>
      <c r="L25" s="3"/>
      <c r="M25" s="3"/>
      <c r="N25" s="3"/>
      <c r="O25" s="3"/>
      <c r="P25" s="3"/>
      <c r="Q25" s="3"/>
      <c r="R25" s="3"/>
      <c r="S25" s="3"/>
      <c r="T25" s="3"/>
      <c r="U25" s="3"/>
      <c r="V25" s="3"/>
      <c r="W25" s="3"/>
    </row>
    <row r="26" spans="1:23" ht="19" customHeight="1">
      <c r="A26" s="2"/>
      <c r="B26" s="2"/>
      <c r="C26" s="2"/>
      <c r="D26" s="3"/>
      <c r="E26" s="3"/>
      <c r="F26" s="3"/>
      <c r="G26" s="3"/>
      <c r="H26" s="3"/>
      <c r="I26" s="3"/>
      <c r="J26" s="3"/>
      <c r="K26" s="3"/>
      <c r="L26" s="3"/>
      <c r="M26" s="3"/>
      <c r="N26" s="3"/>
      <c r="O26" s="3"/>
      <c r="P26" s="3"/>
      <c r="Q26" s="3"/>
      <c r="R26" s="3"/>
      <c r="S26" s="3"/>
      <c r="T26" s="3"/>
      <c r="U26" s="3"/>
      <c r="V26" s="3"/>
      <c r="W26" s="3"/>
    </row>
    <row r="27" spans="1:23" ht="19" customHeight="1">
      <c r="A27" s="2"/>
      <c r="B27" s="2"/>
      <c r="C27" s="2" t="s">
        <v>320</v>
      </c>
      <c r="D27" s="56">
        <f>ROUND(-(SUM('Fee engine'!D38:E38))-(Disclosures!D28+Disclosures!D29),8)</f>
        <v>0</v>
      </c>
      <c r="E27" s="56">
        <f>ROUND(-(SUM('Fee engine'!D38:G38))-(Disclosures!E28+Disclosures!E29),8)</f>
        <v>0</v>
      </c>
      <c r="F27" s="56">
        <f>ROUND(-(SUM('Fee engine'!H38:I38))-(Disclosures!F28+Disclosures!F29),8)</f>
        <v>0</v>
      </c>
      <c r="G27" s="56">
        <f>ROUND(-(SUM('Fee engine'!H38:K38))-(Disclosures!G28+Disclosures!G29),8)</f>
        <v>0</v>
      </c>
      <c r="H27" s="56">
        <f>ROUND(-(SUM('Fee engine'!L38:M38))-(Disclosures!H28+Disclosures!H29),8)</f>
        <v>0</v>
      </c>
      <c r="I27" s="56">
        <f>ROUND(-(SUM('Fee engine'!L38:O38))-(Disclosures!I28+Disclosures!I29),8)</f>
        <v>0</v>
      </c>
      <c r="J27" s="56">
        <f>ROUND(-(SUM('Fee engine'!P38:Q38))-(Disclosures!J28+Disclosures!J29),8)</f>
        <v>0</v>
      </c>
      <c r="K27" s="3"/>
      <c r="L27" s="3"/>
      <c r="M27" s="3"/>
      <c r="N27" s="3"/>
      <c r="O27" s="3"/>
      <c r="P27" s="3"/>
      <c r="Q27" s="3"/>
      <c r="R27" s="3"/>
      <c r="S27" s="3"/>
      <c r="T27" s="3"/>
      <c r="U27" s="3"/>
      <c r="V27" s="3"/>
      <c r="W27" s="3"/>
    </row>
    <row r="28" spans="1:23" ht="19" customHeight="1">
      <c r="A28" s="2"/>
      <c r="B28" s="2"/>
      <c r="C28" s="2" t="s">
        <v>144</v>
      </c>
      <c r="D28" s="56">
        <f>ROUND(-(SUM('Fee engine'!D34:E34))-(Disclosures!D27),8)</f>
        <v>0</v>
      </c>
      <c r="E28" s="56">
        <f>ROUND(-(SUM('Fee engine'!D34:G34))-(Disclosures!E27),8)</f>
        <v>0</v>
      </c>
      <c r="F28" s="56">
        <f>ROUND(-(SUM('Fee engine'!H34:I34))-(Disclosures!F27),8)</f>
        <v>0</v>
      </c>
      <c r="G28" s="56">
        <f>ROUND(-(SUM('Fee engine'!H34:K34))-(Disclosures!G27),8)</f>
        <v>0</v>
      </c>
      <c r="H28" s="56">
        <f>ROUND(-(SUM('Fee engine'!L34:M34))-(Disclosures!H27),8)</f>
        <v>0</v>
      </c>
      <c r="I28" s="56">
        <f>ROUND(-(SUM('Fee engine'!L34:O34))-(Disclosures!I27),8)</f>
        <v>0</v>
      </c>
      <c r="J28" s="56">
        <f>ROUND(-(SUM('Fee engine'!P34:Q34))-(Disclosures!J27),8)</f>
        <v>0</v>
      </c>
      <c r="K28" s="3"/>
      <c r="L28" s="3"/>
      <c r="M28" s="3"/>
      <c r="N28" s="3"/>
      <c r="O28" s="3"/>
      <c r="P28" s="3"/>
      <c r="Q28" s="3"/>
      <c r="R28" s="3"/>
      <c r="S28" s="3"/>
      <c r="T28" s="3"/>
      <c r="U28" s="3"/>
      <c r="V28" s="3"/>
      <c r="W28" s="3"/>
    </row>
    <row r="29" spans="1:23" ht="19" customHeight="1">
      <c r="A29" s="2"/>
      <c r="B29" s="2"/>
      <c r="C29" s="2" t="s">
        <v>321</v>
      </c>
      <c r="D29" s="56">
        <f>ROUND(-(SUM('Fee engine'!D34:E34)+SUM('Fee engine'!D35:E35))-(Disclosures!D28),8)</f>
        <v>0</v>
      </c>
      <c r="E29" s="56">
        <f>ROUND(-(SUM('Fee engine'!D34:G34)+SUM('Fee engine'!D35:G35))-(Disclosures!E28),8)</f>
        <v>0</v>
      </c>
      <c r="F29" s="56">
        <f>ROUND(-(SUM('Fee engine'!H34:I34)+SUM('Fee engine'!H35:I35))-(Disclosures!F28),8)</f>
        <v>0</v>
      </c>
      <c r="G29" s="56">
        <f>ROUND(-(SUM('Fee engine'!H34:K34)+SUM('Fee engine'!H35:K35))-(Disclosures!G28),8)</f>
        <v>0</v>
      </c>
      <c r="H29" s="56">
        <f>ROUND(-(SUM('Fee engine'!L34:M34)+SUM('Fee engine'!L35:M35))-(Disclosures!H28),8)</f>
        <v>0</v>
      </c>
      <c r="I29" s="56">
        <f>ROUND(-(SUM('Fee engine'!L34:O34)+SUM('Fee engine'!L35:O35))-(Disclosures!I28),8)</f>
        <v>0</v>
      </c>
      <c r="J29" s="56">
        <f>ROUND(-(SUM('Fee engine'!P34:Q34)+SUM('Fee engine'!P35:Q35))-(Disclosures!J28),8)</f>
        <v>0</v>
      </c>
      <c r="K29" s="3"/>
      <c r="L29" s="3"/>
      <c r="M29" s="3"/>
      <c r="N29" s="3"/>
      <c r="O29" s="3"/>
      <c r="P29" s="3"/>
      <c r="Q29" s="3"/>
      <c r="R29" s="3"/>
      <c r="S29" s="3"/>
      <c r="T29" s="3"/>
      <c r="U29" s="3"/>
      <c r="V29" s="3"/>
      <c r="W29" s="3"/>
    </row>
    <row r="30" spans="1:23" ht="19" customHeight="1">
      <c r="A30" s="2"/>
      <c r="B30" s="2"/>
      <c r="C30" s="2" t="s">
        <v>322</v>
      </c>
      <c r="D30" s="56">
        <f>ROUND(-(SUM('Fee engine'!D36:E36)+SUM('Fee engine'!D37:E37))-(Disclosures!D29),8)</f>
        <v>0</v>
      </c>
      <c r="E30" s="56">
        <f>ROUND(-(SUM('Fee engine'!D36:G36)+SUM('Fee engine'!D37:G37))-(Disclosures!E29),8)</f>
        <v>0</v>
      </c>
      <c r="F30" s="56">
        <f>ROUND(-(SUM('Fee engine'!H36:I36)+SUM('Fee engine'!H37:I37))-(Disclosures!F29),8)</f>
        <v>0</v>
      </c>
      <c r="G30" s="56">
        <f>ROUND(-(SUM('Fee engine'!H36:K36)+SUM('Fee engine'!H37:K37))-(Disclosures!G29),8)</f>
        <v>0</v>
      </c>
      <c r="H30" s="56">
        <f>ROUND(-(SUM('Fee engine'!L36:M36)+SUM('Fee engine'!L37:M37))-(Disclosures!H29),8)</f>
        <v>0</v>
      </c>
      <c r="I30" s="56">
        <f>ROUND(-(SUM('Fee engine'!L36:O36)+SUM('Fee engine'!L37:O37))-(Disclosures!I29),8)</f>
        <v>0</v>
      </c>
      <c r="J30" s="56">
        <f>ROUND(-(SUM('Fee engine'!P36:Q36)+SUM('Fee engine'!P37:Q37))-(Disclosures!J29),8)</f>
        <v>0</v>
      </c>
      <c r="K30" s="3"/>
      <c r="L30" s="3"/>
      <c r="M30" s="3"/>
      <c r="N30" s="3"/>
      <c r="O30" s="3"/>
      <c r="P30" s="3"/>
      <c r="Q30" s="3"/>
      <c r="R30" s="3"/>
      <c r="S30" s="3"/>
      <c r="T30" s="3"/>
      <c r="U30" s="3"/>
      <c r="V30" s="3"/>
      <c r="W30" s="3"/>
    </row>
    <row r="31" spans="1:23" ht="19" customHeight="1">
      <c r="A31" s="2"/>
      <c r="B31" s="2"/>
      <c r="C31" s="2" t="s">
        <v>323</v>
      </c>
      <c r="D31" s="56">
        <f>ROUND(-(SUM('Fee engine'!D39:E39))-(Disclosures!D26),8)</f>
        <v>0</v>
      </c>
      <c r="E31" s="56">
        <f>ROUND(-(SUM('Fee engine'!D39:G39))-(Disclosures!E26),8)</f>
        <v>0</v>
      </c>
      <c r="F31" s="56">
        <f>ROUND(-(SUM('Fee engine'!H39:I39))-(Disclosures!F26),8)</f>
        <v>0</v>
      </c>
      <c r="G31" s="56">
        <f>ROUND(-(SUM('Fee engine'!H39:K39))-(Disclosures!G26),8)</f>
        <v>0</v>
      </c>
      <c r="H31" s="56">
        <f>ROUND(-(SUM('Fee engine'!L39:M39))-(Disclosures!H26),8)</f>
        <v>0</v>
      </c>
      <c r="I31" s="56">
        <f>ROUND(-(SUM('Fee engine'!L39:O39))-(Disclosures!I26),8)</f>
        <v>0</v>
      </c>
      <c r="J31" s="56">
        <f>ROUND(-(SUM('Fee engine'!P39:Q39))-(Disclosures!J26),8)</f>
        <v>0</v>
      </c>
      <c r="K31" s="3"/>
      <c r="L31" s="3"/>
      <c r="M31" s="3"/>
      <c r="N31" s="3"/>
      <c r="O31" s="3"/>
      <c r="P31" s="3"/>
      <c r="Q31" s="3"/>
      <c r="R31" s="3"/>
      <c r="S31" s="3"/>
      <c r="T31" s="3"/>
      <c r="U31" s="3"/>
      <c r="V31" s="3"/>
      <c r="W31" s="3"/>
    </row>
    <row r="32" spans="1:23" ht="19" customHeight="1">
      <c r="A32" s="2"/>
      <c r="B32" s="2"/>
      <c r="C32" s="2" t="s">
        <v>324</v>
      </c>
      <c r="D32" s="56">
        <f>ROUND(-(SUM('Fee engine'!D40:E40))-(Disclosures!D30),8)</f>
        <v>0</v>
      </c>
      <c r="E32" s="56">
        <f>ROUND(-(SUM('Fee engine'!D40:G40))-(Disclosures!E30),8)</f>
        <v>0</v>
      </c>
      <c r="F32" s="56">
        <f>ROUND(-(SUM('Fee engine'!H40:I40))-(Disclosures!F30),8)</f>
        <v>0</v>
      </c>
      <c r="G32" s="56">
        <f>ROUND(-(SUM('Fee engine'!H40:K40))-(Disclosures!G30),8)</f>
        <v>0</v>
      </c>
      <c r="H32" s="56">
        <f>ROUND(-(SUM('Fee engine'!L40:M40))-(Disclosures!H30),8)</f>
        <v>0</v>
      </c>
      <c r="I32" s="56">
        <f>ROUND(-(SUM('Fee engine'!L40:O40))-(Disclosures!I30),8)</f>
        <v>0</v>
      </c>
      <c r="J32" s="56">
        <f>ROUND(-(SUM('Fee engine'!P40:Q40))-(Disclosures!J30),8)</f>
        <v>0</v>
      </c>
      <c r="K32" s="3"/>
      <c r="L32" s="3"/>
      <c r="M32" s="3"/>
      <c r="N32" s="3"/>
      <c r="O32" s="3"/>
      <c r="P32" s="3"/>
      <c r="Q32" s="3"/>
      <c r="R32" s="3"/>
      <c r="S32" s="3"/>
      <c r="T32" s="3"/>
      <c r="U32" s="3"/>
      <c r="V32" s="3"/>
      <c r="W32" s="3"/>
    </row>
    <row r="33" spans="1:23" ht="19" customHeight="1">
      <c r="A33" s="2"/>
      <c r="B33" s="2"/>
      <c r="C33" s="2" t="s">
        <v>325</v>
      </c>
      <c r="D33" s="56">
        <f>ROUND(-(SUM('Fee engine'!D41:E41))-(Disclosures!D31),8)</f>
        <v>0</v>
      </c>
      <c r="E33" s="56">
        <f>ROUND(-(SUM('Fee engine'!D41:G41))-(Disclosures!E31),8)</f>
        <v>0</v>
      </c>
      <c r="F33" s="56">
        <f>ROUND(-(SUM('Fee engine'!H41:I41))-(Disclosures!F31),8)</f>
        <v>0</v>
      </c>
      <c r="G33" s="56">
        <f>ROUND(-(SUM('Fee engine'!H41:K41))-(Disclosures!G31),8)</f>
        <v>0</v>
      </c>
      <c r="H33" s="56">
        <f>ROUND(-(SUM('Fee engine'!L41:M41))-(Disclosures!H31),8)</f>
        <v>0</v>
      </c>
      <c r="I33" s="56">
        <f>ROUND(-(SUM('Fee engine'!L41:O41))-(Disclosures!I31),8)</f>
        <v>0</v>
      </c>
      <c r="J33" s="56">
        <f>ROUND(-(SUM('Fee engine'!P41:Q41))-(Disclosures!J31),8)</f>
        <v>0</v>
      </c>
      <c r="K33" s="3"/>
      <c r="L33" s="3"/>
      <c r="M33" s="3"/>
      <c r="N33" s="3"/>
      <c r="O33" s="3"/>
      <c r="P33" s="3"/>
      <c r="Q33" s="3"/>
      <c r="R33" s="3"/>
      <c r="S33" s="3"/>
      <c r="T33" s="3"/>
      <c r="U33" s="3"/>
      <c r="V33" s="3"/>
      <c r="W33" s="3"/>
    </row>
    <row r="34" spans="1:23" ht="19" customHeight="1">
      <c r="A34" s="2"/>
      <c r="B34" s="2"/>
      <c r="C34" s="2"/>
      <c r="D34" s="3"/>
      <c r="E34" s="3"/>
      <c r="F34" s="3"/>
      <c r="G34" s="3"/>
      <c r="H34" s="3"/>
      <c r="I34" s="3"/>
      <c r="J34" s="3"/>
      <c r="K34" s="3"/>
      <c r="L34" s="3"/>
      <c r="M34" s="3"/>
      <c r="N34" s="3"/>
      <c r="O34" s="3"/>
      <c r="P34" s="3"/>
      <c r="Q34" s="3"/>
      <c r="R34" s="3"/>
      <c r="S34" s="3"/>
      <c r="T34" s="3"/>
      <c r="U34" s="3"/>
      <c r="V34" s="3"/>
      <c r="W34" s="3"/>
    </row>
    <row r="35" spans="1:23" ht="19" customHeight="1">
      <c r="A35" s="2"/>
      <c r="B35" s="2"/>
      <c r="C35" s="2"/>
      <c r="D35" s="3"/>
      <c r="E35" s="3"/>
      <c r="F35" s="3"/>
      <c r="G35" s="3"/>
      <c r="H35" s="3"/>
      <c r="I35" s="3"/>
      <c r="J35" s="3"/>
      <c r="K35" s="3"/>
      <c r="L35" s="3"/>
      <c r="M35" s="3"/>
      <c r="N35" s="3"/>
      <c r="O35" s="3"/>
      <c r="P35" s="3"/>
      <c r="Q35" s="3"/>
      <c r="R35" s="3"/>
      <c r="S35" s="3"/>
      <c r="T35" s="3"/>
      <c r="U35" s="3"/>
      <c r="V35" s="3"/>
      <c r="W35" s="3"/>
    </row>
    <row r="36" spans="1:23" ht="19" customHeight="1">
      <c r="A36" s="2"/>
      <c r="B36" s="2"/>
      <c r="C36" s="11" t="s">
        <v>326</v>
      </c>
      <c r="D36" s="12"/>
      <c r="E36" s="12"/>
      <c r="F36" s="12"/>
      <c r="G36" s="3"/>
      <c r="H36" s="3"/>
      <c r="I36" s="3"/>
      <c r="J36" s="3"/>
      <c r="K36" s="3"/>
      <c r="L36" s="3"/>
      <c r="M36" s="3"/>
      <c r="N36" s="3"/>
      <c r="O36" s="3"/>
      <c r="P36" s="3"/>
      <c r="Q36" s="3"/>
      <c r="R36" s="3"/>
      <c r="S36" s="3"/>
      <c r="T36" s="3"/>
      <c r="U36" s="3"/>
      <c r="V36" s="3"/>
      <c r="W36" s="3"/>
    </row>
    <row r="37" spans="1:23" ht="19" customHeight="1">
      <c r="A37" s="2"/>
      <c r="B37" s="2"/>
      <c r="C37" s="2"/>
      <c r="D37" s="3" t="s">
        <v>4</v>
      </c>
      <c r="E37" s="3" t="s">
        <v>6</v>
      </c>
      <c r="F37" s="3" t="s">
        <v>8</v>
      </c>
      <c r="G37" s="3"/>
      <c r="H37" s="3"/>
      <c r="I37" s="3"/>
      <c r="J37" s="3"/>
      <c r="K37" s="3"/>
      <c r="L37" s="3"/>
      <c r="M37" s="3"/>
      <c r="N37" s="3"/>
      <c r="O37" s="3"/>
      <c r="P37" s="3"/>
      <c r="Q37" s="3"/>
      <c r="R37" s="3"/>
      <c r="S37" s="3"/>
      <c r="T37" s="3"/>
      <c r="U37" s="3"/>
      <c r="V37" s="3"/>
      <c r="W37" s="3"/>
    </row>
    <row r="38" spans="1:23" ht="19" customHeight="1">
      <c r="A38" s="2"/>
      <c r="B38" s="2"/>
      <c r="C38" s="2" t="s">
        <v>327</v>
      </c>
      <c r="D38" s="56">
        <f>ROUND('Fee engine'!E89-Disclosures!D53,8)</f>
        <v>0</v>
      </c>
      <c r="E38" s="56">
        <f>ROUND('Fee engine'!G89-Disclosures!E53,8)</f>
        <v>0</v>
      </c>
      <c r="F38" s="56">
        <f>ROUND('Fee engine'!I89-Disclosures!F53,8)</f>
        <v>0</v>
      </c>
      <c r="G38" s="3"/>
      <c r="H38" s="3"/>
      <c r="I38" s="3"/>
      <c r="J38" s="3"/>
      <c r="K38" s="3"/>
      <c r="L38" s="3"/>
      <c r="M38" s="3"/>
      <c r="N38" s="3"/>
      <c r="O38" s="3"/>
      <c r="P38" s="3"/>
      <c r="Q38" s="3"/>
      <c r="R38" s="3"/>
      <c r="S38" s="3"/>
      <c r="T38" s="3"/>
      <c r="U38" s="3"/>
      <c r="V38" s="3"/>
      <c r="W38" s="3"/>
    </row>
    <row r="39" spans="1:23" ht="19" customHeight="1">
      <c r="A39" s="2"/>
      <c r="B39" s="2"/>
      <c r="C39" s="2" t="s">
        <v>328</v>
      </c>
      <c r="D39" s="56">
        <f>ROUND('Fee engine'!E90-Disclosures!D54,8)</f>
        <v>0</v>
      </c>
      <c r="E39" s="56">
        <f>ROUND('Fee engine'!G90-Disclosures!E54,8)</f>
        <v>0</v>
      </c>
      <c r="F39" s="56">
        <f>ROUND('Fee engine'!I90-Disclosures!F54,8)</f>
        <v>0</v>
      </c>
      <c r="G39" s="3"/>
      <c r="H39" s="3"/>
      <c r="I39" s="3"/>
      <c r="J39" s="3"/>
      <c r="K39" s="3"/>
      <c r="L39" s="3"/>
      <c r="M39" s="3"/>
      <c r="N39" s="3"/>
      <c r="O39" s="3"/>
      <c r="P39" s="3"/>
      <c r="Q39" s="3"/>
      <c r="R39" s="3"/>
      <c r="S39" s="3"/>
      <c r="T39" s="3"/>
      <c r="U39" s="3"/>
      <c r="V39" s="3"/>
      <c r="W39" s="3"/>
    </row>
    <row r="40" spans="1:23" ht="19" customHeight="1">
      <c r="A40" s="2"/>
      <c r="B40" s="2"/>
      <c r="C40" s="2" t="s">
        <v>329</v>
      </c>
      <c r="D40" s="56">
        <f>ROUND(SUM('Fee engine'!E91:E94)-Disclosures!D55,8)</f>
        <v>0</v>
      </c>
      <c r="E40" s="56">
        <f>ROUND(SUM('Fee engine'!G91:G94)-Disclosures!E55,8)</f>
        <v>0</v>
      </c>
      <c r="F40" s="56">
        <f>ROUND(SUM('Fee engine'!I91:I94)-Disclosures!F55,8)</f>
        <v>0</v>
      </c>
      <c r="G40" s="3"/>
      <c r="H40" s="3"/>
      <c r="I40" s="3"/>
      <c r="J40" s="3"/>
      <c r="K40" s="3"/>
      <c r="L40" s="3"/>
      <c r="M40" s="3"/>
      <c r="N40" s="3"/>
      <c r="O40" s="3"/>
      <c r="P40" s="3"/>
      <c r="Q40" s="3"/>
      <c r="R40" s="3"/>
      <c r="S40" s="3"/>
      <c r="T40" s="3"/>
      <c r="U40" s="3"/>
      <c r="V40" s="3"/>
      <c r="W40" s="3"/>
    </row>
    <row r="41" spans="1:23" ht="19" customHeight="1">
      <c r="A41" s="2"/>
      <c r="B41" s="2"/>
      <c r="C41" s="2" t="s">
        <v>330</v>
      </c>
      <c r="D41" s="56" t="s">
        <v>126</v>
      </c>
      <c r="E41" s="56">
        <f>ROUND('Fee engine'!G91-Disclosures!E51,8)</f>
        <v>0</v>
      </c>
      <c r="F41" s="56">
        <f>ROUND('Fee engine'!I91-Disclosures!F51,8)</f>
        <v>0</v>
      </c>
      <c r="G41" s="3"/>
      <c r="H41" s="3"/>
      <c r="I41" s="3"/>
      <c r="J41" s="3"/>
      <c r="K41" s="3"/>
      <c r="L41" s="3"/>
      <c r="M41" s="3"/>
      <c r="N41" s="3"/>
      <c r="O41" s="3"/>
      <c r="P41" s="3"/>
      <c r="Q41" s="3"/>
      <c r="R41" s="3"/>
      <c r="S41" s="3"/>
      <c r="T41" s="3"/>
      <c r="U41" s="3"/>
      <c r="V41" s="3"/>
      <c r="W41" s="3"/>
    </row>
    <row r="42" spans="1:23" ht="19" customHeight="1">
      <c r="A42" s="2"/>
      <c r="B42" s="2"/>
      <c r="C42" s="2" t="s">
        <v>331</v>
      </c>
      <c r="D42" s="56" t="s">
        <v>126</v>
      </c>
      <c r="E42" s="56">
        <f>ROUND('Fee engine'!G93-Disclosures!E52,8)</f>
        <v>0</v>
      </c>
      <c r="F42" s="56" t="s">
        <v>126</v>
      </c>
      <c r="G42" s="3"/>
      <c r="H42" s="3"/>
      <c r="I42" s="3"/>
      <c r="J42" s="3"/>
      <c r="K42" s="3"/>
      <c r="L42" s="3"/>
      <c r="M42" s="3"/>
      <c r="N42" s="3"/>
      <c r="O42" s="3"/>
      <c r="P42" s="3"/>
      <c r="Q42" s="3"/>
      <c r="R42" s="3"/>
      <c r="S42" s="3"/>
      <c r="T42" s="3"/>
      <c r="U42" s="3"/>
      <c r="V42" s="3"/>
      <c r="W42" s="3"/>
    </row>
    <row r="43" spans="1:23" ht="19" customHeight="1">
      <c r="A43" s="2"/>
      <c r="B43" s="2"/>
      <c r="C43" s="2"/>
      <c r="D43" s="3"/>
      <c r="E43" s="3"/>
      <c r="F43" s="3"/>
      <c r="G43" s="3"/>
      <c r="H43" s="3"/>
      <c r="I43" s="3"/>
      <c r="J43" s="3"/>
      <c r="K43" s="3"/>
      <c r="L43" s="3"/>
      <c r="M43" s="3"/>
      <c r="N43" s="3"/>
      <c r="O43" s="3"/>
      <c r="P43" s="3"/>
      <c r="Q43" s="3"/>
      <c r="R43" s="3"/>
      <c r="S43" s="3"/>
      <c r="T43" s="3"/>
      <c r="U43" s="3"/>
      <c r="V43" s="3"/>
      <c r="W43" s="3"/>
    </row>
    <row r="44" spans="1:23" ht="19" customHeight="1">
      <c r="A44" s="2"/>
      <c r="B44" s="2"/>
      <c r="C44" s="2"/>
      <c r="D44" s="3"/>
      <c r="E44" s="3"/>
      <c r="F44" s="3"/>
      <c r="G44" s="3"/>
      <c r="H44" s="3"/>
      <c r="I44" s="3"/>
      <c r="J44" s="3"/>
      <c r="K44" s="3"/>
      <c r="L44" s="3"/>
      <c r="M44" s="3"/>
      <c r="N44" s="3"/>
      <c r="O44" s="3"/>
      <c r="P44" s="3"/>
      <c r="Q44" s="3"/>
      <c r="R44" s="3"/>
      <c r="S44" s="3"/>
      <c r="T44" s="3"/>
      <c r="U44" s="3"/>
      <c r="V44" s="3"/>
      <c r="W44" s="3"/>
    </row>
    <row r="45" spans="1:23" ht="19" customHeight="1">
      <c r="A45" s="2"/>
      <c r="B45" s="2"/>
      <c r="C45" s="11" t="s">
        <v>332</v>
      </c>
      <c r="D45" s="12"/>
      <c r="E45" s="12"/>
      <c r="F45" s="12"/>
      <c r="G45" s="12"/>
      <c r="H45" s="12"/>
      <c r="I45" s="12"/>
      <c r="J45" s="12"/>
      <c r="K45" s="12"/>
      <c r="L45" s="12"/>
      <c r="M45" s="12"/>
      <c r="N45" s="12"/>
      <c r="O45" s="12"/>
      <c r="P45" s="12"/>
      <c r="Q45" s="12"/>
      <c r="R45" s="12"/>
      <c r="S45" s="12"/>
      <c r="T45" s="12"/>
      <c r="U45" s="12"/>
      <c r="V45" s="12"/>
      <c r="W45" s="12"/>
    </row>
    <row r="46" spans="1:23" ht="19" customHeight="1">
      <c r="A46" s="2"/>
      <c r="B46" s="2"/>
      <c r="C46" s="2"/>
      <c r="D46" s="3"/>
      <c r="E46" s="3"/>
      <c r="F46" s="3"/>
      <c r="G46" s="3"/>
      <c r="H46" s="3"/>
      <c r="I46" s="3"/>
      <c r="J46" s="3"/>
      <c r="K46" s="3"/>
      <c r="L46" s="3"/>
      <c r="M46" s="3"/>
      <c r="N46" s="3"/>
      <c r="O46" s="3"/>
      <c r="P46" s="3"/>
      <c r="Q46" s="3"/>
      <c r="R46" s="3" t="s">
        <v>76</v>
      </c>
      <c r="S46" s="3" t="s">
        <v>77</v>
      </c>
      <c r="T46" s="3" t="s">
        <v>78</v>
      </c>
      <c r="U46" s="3" t="s">
        <v>79</v>
      </c>
      <c r="V46" s="3" t="s">
        <v>80</v>
      </c>
      <c r="W46" s="3" t="s">
        <v>81</v>
      </c>
    </row>
    <row r="47" spans="1:23" ht="19" customHeight="1">
      <c r="A47" s="2"/>
      <c r="B47" s="2"/>
      <c r="C47" s="2" t="s">
        <v>333</v>
      </c>
      <c r="D47" s="3"/>
      <c r="E47" s="3"/>
      <c r="F47" s="3"/>
      <c r="G47" s="3"/>
      <c r="H47" s="3"/>
      <c r="I47" s="3"/>
      <c r="J47" s="3"/>
      <c r="K47" s="3"/>
      <c r="L47" s="3"/>
      <c r="M47" s="3"/>
      <c r="N47" s="3"/>
      <c r="O47" s="3"/>
      <c r="P47" s="3"/>
      <c r="Q47" s="3"/>
      <c r="R47" s="56">
        <f>ROUND('Fee engine'!R11-'Fee engine'!R10*Assumptions!R11,8)</f>
        <v>0</v>
      </c>
      <c r="S47" s="56">
        <f>ROUND('Fee engine'!S11-'Fee engine'!S10*Assumptions!S11,8)</f>
        <v>0</v>
      </c>
      <c r="T47" s="56">
        <f>ROUND('Fee engine'!T11-'Fee engine'!T10*Assumptions!T11,8)</f>
        <v>0</v>
      </c>
      <c r="U47" s="56">
        <f>ROUND('Fee engine'!U11-'Fee engine'!U10*Assumptions!U11,8)</f>
        <v>0</v>
      </c>
      <c r="V47" s="56">
        <f>ROUND('Fee engine'!V11-'Fee engine'!V10*Assumptions!V11,8)</f>
        <v>0</v>
      </c>
      <c r="W47" s="56">
        <f>ROUND('Fee engine'!W11-'Fee engine'!W10*Assumptions!W11,8)</f>
        <v>0</v>
      </c>
    </row>
    <row r="48" spans="1:23" ht="19" customHeight="1">
      <c r="A48" s="2"/>
      <c r="B48" s="2"/>
      <c r="C48" s="2" t="s">
        <v>334</v>
      </c>
      <c r="D48" s="3"/>
      <c r="E48" s="3"/>
      <c r="F48" s="3"/>
      <c r="G48" s="3"/>
      <c r="H48" s="3"/>
      <c r="I48" s="3"/>
      <c r="J48" s="3"/>
      <c r="K48" s="3"/>
      <c r="L48" s="3"/>
      <c r="M48" s="3"/>
      <c r="N48" s="3"/>
      <c r="O48" s="3"/>
      <c r="P48" s="3"/>
      <c r="Q48" s="3"/>
      <c r="R48" s="56">
        <f>ROUND('Fee engine'!R12-'Fee engine'!R10*Assumptions!R18,8)</f>
        <v>0</v>
      </c>
      <c r="S48" s="56">
        <f>ROUND('Fee engine'!S12-'Fee engine'!S10*Assumptions!S18,8)</f>
        <v>0</v>
      </c>
      <c r="T48" s="56">
        <f>ROUND('Fee engine'!T12-'Fee engine'!T10*Assumptions!T18,8)</f>
        <v>0</v>
      </c>
      <c r="U48" s="56">
        <f>ROUND('Fee engine'!U12-'Fee engine'!U10*Assumptions!U18,8)</f>
        <v>0</v>
      </c>
      <c r="V48" s="56">
        <f>ROUND('Fee engine'!V12-'Fee engine'!V10*Assumptions!V18,8)</f>
        <v>0</v>
      </c>
      <c r="W48" s="56">
        <f>ROUND('Fee engine'!W12-'Fee engine'!W10*Assumptions!W18,8)</f>
        <v>0</v>
      </c>
    </row>
    <row r="49" spans="1:23" ht="19" customHeight="1">
      <c r="A49" s="2"/>
      <c r="B49" s="2"/>
      <c r="C49" s="2" t="s">
        <v>335</v>
      </c>
      <c r="D49" s="3"/>
      <c r="E49" s="3"/>
      <c r="F49" s="3"/>
      <c r="G49" s="3"/>
      <c r="H49" s="3"/>
      <c r="I49" s="3"/>
      <c r="J49" s="3"/>
      <c r="K49" s="3"/>
      <c r="L49" s="3"/>
      <c r="M49" s="3"/>
      <c r="N49" s="3"/>
      <c r="O49" s="3"/>
      <c r="P49" s="3"/>
      <c r="Q49" s="3"/>
      <c r="R49" s="56">
        <f>ROUND('Fee engine'!R26-Assumptions!R25,8)</f>
        <v>0</v>
      </c>
      <c r="S49" s="56">
        <f>ROUND('Fee engine'!S26-Assumptions!S25,8)</f>
        <v>0</v>
      </c>
      <c r="T49" s="56">
        <f>ROUND('Fee engine'!T26-Assumptions!T25,8)</f>
        <v>0</v>
      </c>
      <c r="U49" s="56">
        <f>ROUND('Fee engine'!U26-Assumptions!U25,8)</f>
        <v>0</v>
      </c>
      <c r="V49" s="56">
        <f>ROUND('Fee engine'!V26-Assumptions!V25,8)</f>
        <v>0</v>
      </c>
      <c r="W49" s="56">
        <f>ROUND('Fee engine'!W26-Assumptions!W25,8)</f>
        <v>0</v>
      </c>
    </row>
    <row r="50" spans="1:23" ht="19" customHeight="1">
      <c r="A50" s="2"/>
      <c r="B50" s="2"/>
      <c r="C50" s="2" t="s">
        <v>336</v>
      </c>
      <c r="D50" s="3"/>
      <c r="E50" s="3"/>
      <c r="F50" s="3"/>
      <c r="G50" s="3"/>
      <c r="H50" s="3"/>
      <c r="I50" s="3"/>
      <c r="J50" s="3"/>
      <c r="K50" s="3"/>
      <c r="L50" s="3"/>
      <c r="M50" s="3"/>
      <c r="N50" s="3"/>
      <c r="O50" s="3"/>
      <c r="P50" s="3"/>
      <c r="Q50" s="3"/>
      <c r="R50" s="56">
        <f>ROUND('Fee engine'!R28-Assumptions!R32,8)</f>
        <v>0</v>
      </c>
      <c r="S50" s="56">
        <f>ROUND('Fee engine'!S28-Assumptions!S32,8)</f>
        <v>0</v>
      </c>
      <c r="T50" s="56">
        <f>ROUND('Fee engine'!T28-Assumptions!T32,8)</f>
        <v>0</v>
      </c>
      <c r="U50" s="56">
        <f>ROUND('Fee engine'!U28-Assumptions!U32,8)</f>
        <v>0</v>
      </c>
      <c r="V50" s="56">
        <f>ROUND('Fee engine'!V28-Assumptions!V32,8)</f>
        <v>0</v>
      </c>
      <c r="W50" s="56">
        <f>ROUND('Fee engine'!W28-Assumptions!W32,8)</f>
        <v>0</v>
      </c>
    </row>
    <row r="51" spans="1:23" ht="19" customHeight="1">
      <c r="A51" s="2"/>
      <c r="B51" s="2"/>
      <c r="C51" s="2" t="s">
        <v>337</v>
      </c>
      <c r="D51" s="3"/>
      <c r="E51" s="3"/>
      <c r="F51" s="3"/>
      <c r="G51" s="3"/>
      <c r="H51" s="3"/>
      <c r="I51" s="3"/>
      <c r="J51" s="3"/>
      <c r="K51" s="3"/>
      <c r="L51" s="3"/>
      <c r="M51" s="3"/>
      <c r="N51" s="3"/>
      <c r="O51" s="3"/>
      <c r="P51" s="3"/>
      <c r="Q51" s="3"/>
      <c r="R51" s="56">
        <f>ROUND('Fee engine'!R36+'Fee engine'!R28*Assumptions!$D$52,8)</f>
        <v>0</v>
      </c>
      <c r="S51" s="56">
        <f>ROUND('Fee engine'!S36+'Fee engine'!S28*Assumptions!$D$52,8)</f>
        <v>0</v>
      </c>
      <c r="T51" s="56">
        <f>ROUND('Fee engine'!T36+'Fee engine'!T28*Assumptions!$D$52,8)</f>
        <v>0</v>
      </c>
      <c r="U51" s="56">
        <f>ROUND('Fee engine'!U36+'Fee engine'!U28*Assumptions!$D$52,8)</f>
        <v>0</v>
      </c>
      <c r="V51" s="56">
        <f>ROUND('Fee engine'!V36+'Fee engine'!V28*Assumptions!$D$52,8)</f>
        <v>0</v>
      </c>
      <c r="W51" s="56">
        <f>ROUND('Fee engine'!W36+'Fee engine'!W28*Assumptions!$D$52,8)</f>
        <v>0</v>
      </c>
    </row>
    <row r="52" spans="1:23" ht="19" customHeight="1">
      <c r="A52" s="2"/>
      <c r="B52" s="2"/>
      <c r="C52" s="2" t="s">
        <v>338</v>
      </c>
      <c r="D52" s="3"/>
      <c r="E52" s="3"/>
      <c r="F52" s="3"/>
      <c r="G52" s="3"/>
      <c r="H52" s="3"/>
      <c r="I52" s="3"/>
      <c r="J52" s="3"/>
      <c r="K52" s="3"/>
      <c r="L52" s="3"/>
      <c r="M52" s="3"/>
      <c r="N52" s="3"/>
      <c r="O52" s="3"/>
      <c r="P52" s="3"/>
      <c r="Q52" s="3"/>
      <c r="R52" s="56">
        <f>ROUND(SUM('Fee engine'!R13:R16),8)</f>
        <v>0</v>
      </c>
      <c r="S52" s="56">
        <f>ROUND(SUM('Fee engine'!S13:S16),8)</f>
        <v>0</v>
      </c>
      <c r="T52" s="56">
        <f>ROUND(SUM('Fee engine'!T13:T16),8)</f>
        <v>0</v>
      </c>
      <c r="U52" s="56">
        <f>ROUND(SUM('Fee engine'!U13:U16),8)</f>
        <v>0</v>
      </c>
      <c r="V52" s="56">
        <f>ROUND(SUM('Fee engine'!V13:V16),8)</f>
        <v>0</v>
      </c>
      <c r="W52" s="56">
        <f>ROUND(SUM('Fee engine'!W13:W16),8)</f>
        <v>0</v>
      </c>
    </row>
    <row r="53" spans="1:23" ht="19" customHeight="1">
      <c r="A53" s="2"/>
      <c r="B53" s="2"/>
      <c r="C53" s="2" t="s">
        <v>339</v>
      </c>
      <c r="D53" s="3"/>
      <c r="E53" s="3"/>
      <c r="F53" s="3"/>
      <c r="G53" s="3"/>
      <c r="H53" s="3"/>
      <c r="I53" s="3"/>
      <c r="J53" s="3"/>
      <c r="K53" s="3"/>
      <c r="L53" s="3"/>
      <c r="M53" s="3"/>
      <c r="N53" s="3"/>
      <c r="O53" s="3"/>
      <c r="P53" s="3"/>
      <c r="Q53" s="3"/>
      <c r="R53" s="56">
        <f>ROUND('Fee engine'!R34+Assumptions!$D$54,8)</f>
        <v>0</v>
      </c>
      <c r="S53" s="56">
        <f>ROUND('Fee engine'!S34+Assumptions!$D$54,8)</f>
        <v>0</v>
      </c>
      <c r="T53" s="56">
        <f>ROUND('Fee engine'!T34+Assumptions!$D$54,8)</f>
        <v>0</v>
      </c>
      <c r="U53" s="56">
        <f>ROUND('Fee engine'!U34+Assumptions!$D$54,8)</f>
        <v>0</v>
      </c>
      <c r="V53" s="56">
        <f>ROUND('Fee engine'!V34+Assumptions!$D$54,8)</f>
        <v>0</v>
      </c>
      <c r="W53" s="56">
        <f>ROUND('Fee engine'!W34+Assumptions!$D$54,8)</f>
        <v>0</v>
      </c>
    </row>
    <row r="54" spans="1:23" ht="19" customHeight="1">
      <c r="A54" s="2"/>
      <c r="B54" s="2"/>
      <c r="C54" s="2" t="s">
        <v>340</v>
      </c>
      <c r="D54" s="3"/>
      <c r="E54" s="3"/>
      <c r="F54" s="3"/>
      <c r="G54" s="3"/>
      <c r="H54" s="3"/>
      <c r="I54" s="3"/>
      <c r="J54" s="3"/>
      <c r="K54" s="3"/>
      <c r="L54" s="3"/>
      <c r="M54" s="3"/>
      <c r="N54" s="3"/>
      <c r="O54" s="3"/>
      <c r="P54" s="3"/>
      <c r="Q54" s="3"/>
      <c r="R54" s="56">
        <f>ROUND('Fee engine'!R56-Assumptions!$D$57,8)</f>
        <v>0</v>
      </c>
      <c r="S54" s="56">
        <f>ROUND('Fee engine'!S56-Assumptions!$D$57,8)</f>
        <v>0</v>
      </c>
      <c r="T54" s="56">
        <f>ROUND('Fee engine'!T56-Assumptions!$D$57,8)</f>
        <v>0</v>
      </c>
      <c r="U54" s="56">
        <f>ROUND('Fee engine'!U56-Assumptions!$D$57,8)</f>
        <v>0</v>
      </c>
      <c r="V54" s="56">
        <f>ROUND('Fee engine'!V56-Assumptions!$D$57,8)</f>
        <v>0</v>
      </c>
      <c r="W54" s="56">
        <f>ROUND('Fee engine'!W56-Assumptions!$D$57,8)</f>
        <v>0</v>
      </c>
    </row>
    <row r="55" spans="1:23" ht="19" customHeight="1">
      <c r="A55" s="2"/>
      <c r="B55" s="2"/>
      <c r="C55" s="2" t="s">
        <v>341</v>
      </c>
      <c r="D55" s="3"/>
      <c r="E55" s="3"/>
      <c r="F55" s="3"/>
      <c r="G55" s="3"/>
      <c r="H55" s="3"/>
      <c r="I55" s="3"/>
      <c r="J55" s="3"/>
      <c r="K55" s="3"/>
      <c r="L55" s="3"/>
      <c r="M55" s="3"/>
      <c r="N55" s="3"/>
      <c r="O55" s="3"/>
      <c r="P55" s="3"/>
      <c r="Q55" s="3"/>
      <c r="R55" s="56">
        <f>ROUND('Fee engine'!R60-Assumptions!$D$56,8)</f>
        <v>0</v>
      </c>
      <c r="S55" s="56">
        <f>ROUND('Fee engine'!S60-Assumptions!$D$56,8)</f>
        <v>0</v>
      </c>
      <c r="T55" s="56">
        <f>ROUND('Fee engine'!T60-Assumptions!$D$56,8)</f>
        <v>0</v>
      </c>
      <c r="U55" s="56">
        <f>ROUND('Fee engine'!U60-Assumptions!$D$56,8)</f>
        <v>0</v>
      </c>
      <c r="V55" s="56">
        <f>ROUND('Fee engine'!V60-Assumptions!$D$56,8)</f>
        <v>0</v>
      </c>
      <c r="W55" s="56">
        <f>ROUND('Fee engine'!W60-Assumptions!$D$56,8)</f>
        <v>0</v>
      </c>
    </row>
    <row r="56" spans="1:23" ht="19" customHeight="1">
      <c r="A56" s="2"/>
      <c r="B56" s="2"/>
      <c r="C56" s="2"/>
      <c r="D56" s="3"/>
      <c r="E56" s="3"/>
      <c r="F56" s="3"/>
      <c r="G56" s="3"/>
      <c r="H56" s="3"/>
      <c r="I56" s="3"/>
      <c r="J56" s="3"/>
      <c r="K56" s="3"/>
      <c r="L56" s="3"/>
      <c r="M56" s="3"/>
      <c r="N56" s="3"/>
      <c r="O56" s="3"/>
      <c r="P56" s="3"/>
      <c r="Q56" s="3"/>
      <c r="R56" s="3"/>
      <c r="S56" s="3"/>
      <c r="T56" s="3"/>
      <c r="U56" s="3"/>
      <c r="V56" s="3"/>
      <c r="W56" s="3"/>
    </row>
    <row r="57" spans="1:23" ht="19" customHeight="1">
      <c r="A57" s="2"/>
      <c r="B57" s="2"/>
      <c r="C57" s="2"/>
      <c r="D57" s="3"/>
      <c r="E57" s="3"/>
      <c r="F57" s="3"/>
      <c r="G57" s="3"/>
      <c r="H57" s="3"/>
      <c r="I57" s="3"/>
      <c r="J57" s="3"/>
      <c r="K57" s="3"/>
      <c r="L57" s="3"/>
      <c r="M57" s="3"/>
      <c r="N57" s="3"/>
      <c r="O57" s="3"/>
      <c r="P57" s="3"/>
      <c r="Q57" s="3"/>
      <c r="R57" s="3"/>
      <c r="S57" s="3"/>
      <c r="T57" s="3"/>
      <c r="U57" s="3"/>
      <c r="V57" s="3"/>
      <c r="W57" s="3"/>
    </row>
    <row r="58" spans="1:23" ht="19" customHeight="1">
      <c r="A58" s="2"/>
      <c r="B58" s="2"/>
      <c r="C58" s="2" t="s">
        <v>342</v>
      </c>
      <c r="D58" s="3"/>
      <c r="E58" s="3"/>
      <c r="F58" s="3"/>
      <c r="G58" s="3"/>
      <c r="H58" s="3"/>
      <c r="I58" s="3"/>
      <c r="J58" s="3"/>
      <c r="K58" s="3"/>
      <c r="L58" s="3"/>
      <c r="M58" s="3"/>
      <c r="N58" s="3"/>
      <c r="O58" s="3"/>
      <c r="P58" s="3"/>
      <c r="Q58" s="3"/>
      <c r="R58" s="3"/>
      <c r="S58" s="3"/>
      <c r="T58" s="3"/>
      <c r="U58" s="3"/>
      <c r="V58" s="3"/>
      <c r="W58" s="3"/>
    </row>
    <row r="59" spans="1:23" ht="19" customHeight="1">
      <c r="A59" s="2"/>
      <c r="B59" s="2"/>
      <c r="C59" s="2" t="s">
        <v>343</v>
      </c>
      <c r="D59" s="3"/>
      <c r="E59" s="3"/>
      <c r="F59" s="3"/>
      <c r="G59" s="3"/>
      <c r="H59" s="3"/>
      <c r="I59" s="3"/>
      <c r="J59" s="3"/>
      <c r="K59" s="3"/>
      <c r="L59" s="3"/>
      <c r="M59" s="3"/>
      <c r="N59" s="3"/>
      <c r="O59" s="3"/>
      <c r="P59" s="3"/>
      <c r="Q59" s="3"/>
      <c r="R59" s="3"/>
      <c r="S59" s="3"/>
      <c r="T59" s="3"/>
      <c r="U59" s="3"/>
      <c r="V59" s="3"/>
      <c r="W59" s="3"/>
    </row>
    <row r="60" spans="1:23" ht="19" customHeight="1">
      <c r="A60" s="2"/>
      <c r="B60" s="2"/>
      <c r="C60" s="2"/>
      <c r="D60" s="3"/>
      <c r="E60" s="3"/>
      <c r="F60" s="3"/>
      <c r="G60" s="3"/>
      <c r="H60" s="3"/>
      <c r="I60" s="3"/>
      <c r="J60" s="3"/>
      <c r="K60" s="3"/>
      <c r="L60" s="3"/>
      <c r="M60" s="3"/>
      <c r="N60" s="3"/>
      <c r="O60" s="3"/>
      <c r="P60" s="3"/>
      <c r="Q60" s="3"/>
      <c r="R60" s="3"/>
      <c r="S60" s="3"/>
      <c r="T60" s="3"/>
      <c r="U60" s="3"/>
      <c r="V60" s="3"/>
      <c r="W60" s="3"/>
    </row>
    <row r="61" spans="1:23" ht="19" customHeight="1">
      <c r="A61" s="2"/>
      <c r="B61" s="2"/>
      <c r="C61" s="2"/>
      <c r="D61" s="3"/>
      <c r="E61" s="3"/>
      <c r="F61" s="3"/>
      <c r="G61" s="3"/>
      <c r="H61" s="3"/>
      <c r="I61" s="3"/>
      <c r="J61" s="3"/>
      <c r="K61" s="3"/>
      <c r="L61" s="3"/>
      <c r="M61" s="3"/>
      <c r="N61" s="3"/>
      <c r="O61" s="3"/>
      <c r="P61" s="3"/>
      <c r="Q61" s="3"/>
      <c r="R61" s="3"/>
      <c r="S61" s="3"/>
      <c r="T61" s="3"/>
      <c r="U61" s="3"/>
      <c r="V61" s="3"/>
      <c r="W61" s="3"/>
    </row>
    <row r="62" spans="1:23" ht="19" customHeight="1">
      <c r="A62" s="2"/>
      <c r="B62" s="2"/>
      <c r="C62" s="2"/>
      <c r="D62" s="3"/>
      <c r="E62" s="3"/>
      <c r="F62" s="3"/>
      <c r="G62" s="3"/>
      <c r="H62" s="3"/>
      <c r="I62" s="3"/>
      <c r="J62" s="3"/>
      <c r="K62" s="3"/>
      <c r="L62" s="3"/>
      <c r="M62" s="3"/>
      <c r="N62" s="3"/>
      <c r="O62" s="3"/>
      <c r="P62" s="3"/>
      <c r="Q62" s="3"/>
      <c r="R62" s="3"/>
      <c r="S62" s="3"/>
      <c r="T62" s="3"/>
      <c r="U62" s="3"/>
      <c r="V62" s="3"/>
      <c r="W62" s="3"/>
    </row>
    <row r="63" spans="1:23" ht="19" customHeight="1">
      <c r="A63" s="2"/>
      <c r="B63" s="2"/>
      <c r="C63" s="2"/>
      <c r="D63" s="3"/>
      <c r="E63" s="3"/>
      <c r="F63" s="3"/>
      <c r="G63" s="3"/>
      <c r="H63" s="3"/>
      <c r="I63" s="3"/>
      <c r="J63" s="3"/>
      <c r="K63" s="3"/>
      <c r="L63" s="3"/>
      <c r="M63" s="3"/>
      <c r="N63" s="3"/>
      <c r="O63" s="3"/>
      <c r="P63" s="3"/>
      <c r="Q63" s="3"/>
      <c r="R63" s="3"/>
      <c r="S63" s="3"/>
      <c r="T63" s="3"/>
      <c r="U63" s="3"/>
      <c r="V63" s="3"/>
      <c r="W63" s="3"/>
    </row>
    <row r="64" spans="1:23" ht="19" customHeight="1">
      <c r="A64" s="2"/>
      <c r="B64" s="2"/>
      <c r="C64" s="2"/>
      <c r="D64" s="3"/>
      <c r="E64" s="3"/>
      <c r="F64" s="3"/>
      <c r="G64" s="3"/>
      <c r="H64" s="3"/>
      <c r="I64" s="3"/>
      <c r="J64" s="3"/>
      <c r="K64" s="3"/>
      <c r="L64" s="3"/>
      <c r="M64" s="3"/>
      <c r="N64" s="3"/>
      <c r="O64" s="3"/>
      <c r="P64" s="3"/>
      <c r="Q64" s="3"/>
      <c r="R64" s="3"/>
      <c r="S64" s="3"/>
      <c r="T64" s="3"/>
      <c r="U64" s="3"/>
      <c r="V64" s="3"/>
      <c r="W64" s="3"/>
    </row>
    <row r="65" spans="1:23" ht="19" customHeight="1">
      <c r="A65" s="2"/>
      <c r="B65" s="2"/>
      <c r="C65" s="2"/>
      <c r="D65" s="3"/>
      <c r="E65" s="3"/>
      <c r="F65" s="3"/>
      <c r="G65" s="3"/>
      <c r="H65" s="3"/>
      <c r="I65" s="3"/>
      <c r="J65" s="3"/>
      <c r="K65" s="3"/>
      <c r="L65" s="3"/>
      <c r="M65" s="3"/>
      <c r="N65" s="3"/>
      <c r="O65" s="3"/>
      <c r="P65" s="3"/>
      <c r="Q65" s="3"/>
      <c r="R65" s="3"/>
      <c r="S65" s="3"/>
      <c r="T65" s="3"/>
      <c r="U65" s="3"/>
      <c r="V65" s="3"/>
      <c r="W65" s="3"/>
    </row>
    <row r="66" spans="1:23" ht="19" customHeight="1">
      <c r="A66" s="2"/>
      <c r="B66" s="2"/>
      <c r="C66" s="2"/>
      <c r="D66" s="3"/>
      <c r="E66" s="3"/>
      <c r="F66" s="3"/>
      <c r="G66" s="3"/>
      <c r="H66" s="3"/>
      <c r="I66" s="3"/>
      <c r="J66" s="3"/>
      <c r="K66" s="3"/>
      <c r="L66" s="3"/>
      <c r="M66" s="3"/>
      <c r="N66" s="3"/>
      <c r="O66" s="3"/>
      <c r="P66" s="3"/>
      <c r="Q66" s="3"/>
      <c r="R66" s="3"/>
      <c r="S66" s="3"/>
      <c r="T66" s="3"/>
      <c r="U66" s="3"/>
      <c r="V66" s="3"/>
      <c r="W66" s="3"/>
    </row>
    <row r="67" spans="1:23" ht="19" customHeight="1">
      <c r="A67" s="2"/>
      <c r="B67" s="2"/>
      <c r="C67" s="2"/>
      <c r="D67" s="3"/>
      <c r="E67" s="3"/>
      <c r="F67" s="3"/>
      <c r="G67" s="3"/>
      <c r="H67" s="3"/>
      <c r="I67" s="3"/>
      <c r="J67" s="3"/>
      <c r="K67" s="3"/>
      <c r="L67" s="3"/>
      <c r="M67" s="3"/>
      <c r="N67" s="3"/>
      <c r="O67" s="3"/>
      <c r="P67" s="3"/>
      <c r="Q67" s="3"/>
      <c r="R67" s="3"/>
      <c r="S67" s="3"/>
      <c r="T67" s="3"/>
      <c r="U67" s="3"/>
      <c r="V67" s="3"/>
      <c r="W67" s="3"/>
    </row>
    <row r="68" spans="1:23" ht="19" customHeight="1">
      <c r="A68" s="2"/>
      <c r="B68" s="2"/>
      <c r="C68" s="2"/>
      <c r="D68" s="3"/>
      <c r="E68" s="3"/>
      <c r="F68" s="3"/>
      <c r="G68" s="3"/>
      <c r="H68" s="3"/>
      <c r="I68" s="3"/>
      <c r="J68" s="3"/>
      <c r="K68" s="3"/>
      <c r="L68" s="3"/>
      <c r="M68" s="3"/>
      <c r="N68" s="3"/>
      <c r="O68" s="3"/>
      <c r="P68" s="3"/>
      <c r="Q68" s="3"/>
      <c r="R68" s="3"/>
      <c r="S68" s="3"/>
      <c r="T68" s="3"/>
      <c r="U68" s="3"/>
      <c r="V68" s="3"/>
      <c r="W68" s="3"/>
    </row>
    <row r="69" spans="1:23" ht="19" customHeight="1">
      <c r="A69" s="2"/>
      <c r="B69" s="2"/>
      <c r="C69" s="2"/>
      <c r="D69" s="3"/>
      <c r="E69" s="3"/>
      <c r="F69" s="3"/>
      <c r="G69" s="3"/>
      <c r="H69" s="3"/>
      <c r="I69" s="3"/>
      <c r="J69" s="3"/>
      <c r="K69" s="3"/>
      <c r="L69" s="3"/>
      <c r="M69" s="3"/>
      <c r="N69" s="3"/>
      <c r="O69" s="3"/>
      <c r="P69" s="3"/>
      <c r="Q69" s="3"/>
      <c r="R69" s="3"/>
      <c r="S69" s="3"/>
      <c r="T69" s="3"/>
      <c r="U69" s="3"/>
      <c r="V69" s="3"/>
      <c r="W69" s="3"/>
    </row>
    <row r="70" spans="1:23" ht="19" customHeight="1">
      <c r="A70" s="2"/>
      <c r="B70" s="2"/>
      <c r="C70" s="2"/>
      <c r="D70" s="3"/>
      <c r="E70" s="3"/>
      <c r="F70" s="3"/>
      <c r="G70" s="3"/>
      <c r="H70" s="3"/>
      <c r="I70" s="3"/>
      <c r="J70" s="3"/>
      <c r="K70" s="3"/>
      <c r="L70" s="3"/>
      <c r="M70" s="3"/>
      <c r="N70" s="3"/>
      <c r="O70" s="3"/>
      <c r="P70" s="3"/>
      <c r="Q70" s="3"/>
      <c r="R70" s="3"/>
      <c r="S70" s="3"/>
      <c r="T70" s="3"/>
      <c r="U70" s="3"/>
      <c r="V70" s="3"/>
      <c r="W70" s="3"/>
    </row>
    <row r="71" spans="1:23" ht="19" customHeight="1">
      <c r="A71" s="2"/>
      <c r="B71" s="2"/>
      <c r="C71" s="2"/>
      <c r="D71" s="3"/>
      <c r="E71" s="3"/>
      <c r="F71" s="3"/>
      <c r="G71" s="3"/>
      <c r="H71" s="3"/>
      <c r="I71" s="3"/>
      <c r="J71" s="3"/>
      <c r="K71" s="3"/>
      <c r="L71" s="3"/>
      <c r="M71" s="3"/>
      <c r="N71" s="3"/>
      <c r="O71" s="3"/>
      <c r="P71" s="3"/>
      <c r="Q71" s="3"/>
      <c r="R71" s="3"/>
      <c r="S71" s="3"/>
      <c r="T71" s="3"/>
      <c r="U71" s="3"/>
      <c r="V71" s="3"/>
      <c r="W71" s="3"/>
    </row>
    <row r="72" spans="1:23" ht="19" customHeight="1">
      <c r="A72" s="2"/>
      <c r="B72" s="2"/>
      <c r="C72" s="2"/>
      <c r="D72" s="3"/>
      <c r="E72" s="3"/>
      <c r="F72" s="3"/>
      <c r="G72" s="3"/>
      <c r="H72" s="3"/>
      <c r="I72" s="3"/>
      <c r="J72" s="3"/>
      <c r="K72" s="3"/>
      <c r="L72" s="3"/>
      <c r="M72" s="3"/>
      <c r="N72" s="3"/>
      <c r="O72" s="3"/>
      <c r="P72" s="3"/>
      <c r="Q72" s="3"/>
      <c r="R72" s="3"/>
      <c r="S72" s="3"/>
      <c r="T72" s="3"/>
      <c r="U72" s="3"/>
      <c r="V72" s="3"/>
      <c r="W72" s="3"/>
    </row>
    <row r="73" spans="1:23" ht="19" customHeight="1">
      <c r="A73" s="2"/>
      <c r="B73" s="2"/>
      <c r="C73" s="2"/>
      <c r="D73" s="3"/>
      <c r="E73" s="3"/>
      <c r="F73" s="3"/>
      <c r="G73" s="3"/>
      <c r="H73" s="3"/>
      <c r="I73" s="3"/>
      <c r="J73" s="3"/>
      <c r="K73" s="3"/>
      <c r="L73" s="3"/>
      <c r="M73" s="3"/>
      <c r="N73" s="3"/>
      <c r="O73" s="3"/>
      <c r="P73" s="3"/>
      <c r="Q73" s="3"/>
      <c r="R73" s="3"/>
      <c r="S73" s="3"/>
      <c r="T73" s="3"/>
      <c r="U73" s="3"/>
      <c r="V73" s="3"/>
      <c r="W73" s="3"/>
    </row>
    <row r="74" spans="1:23" ht="19" customHeight="1">
      <c r="A74" s="2"/>
      <c r="B74" s="2"/>
      <c r="C74" s="2"/>
      <c r="D74" s="3"/>
      <c r="E74" s="3"/>
      <c r="F74" s="3"/>
      <c r="G74" s="3"/>
      <c r="H74" s="3"/>
      <c r="I74" s="3"/>
      <c r="J74" s="3"/>
      <c r="K74" s="3"/>
      <c r="L74" s="3"/>
      <c r="M74" s="3"/>
      <c r="N74" s="3"/>
      <c r="O74" s="3"/>
      <c r="P74" s="3"/>
      <c r="Q74" s="3"/>
      <c r="R74" s="3"/>
      <c r="S74" s="3"/>
      <c r="T74" s="3"/>
      <c r="U74" s="3"/>
      <c r="V74" s="3"/>
      <c r="W74" s="3"/>
    </row>
    <row r="75" spans="1:23" ht="19" customHeight="1">
      <c r="A75" s="2"/>
      <c r="B75" s="2"/>
      <c r="C75" s="2"/>
      <c r="D75" s="3"/>
      <c r="E75" s="3"/>
      <c r="F75" s="3"/>
      <c r="G75" s="3"/>
      <c r="H75" s="3"/>
      <c r="I75" s="3"/>
      <c r="J75" s="3"/>
      <c r="K75" s="3"/>
      <c r="L75" s="3"/>
      <c r="M75" s="3"/>
      <c r="N75" s="3"/>
      <c r="O75" s="3"/>
      <c r="P75" s="3"/>
      <c r="Q75" s="3"/>
      <c r="R75" s="3"/>
      <c r="S75" s="3"/>
      <c r="T75" s="3"/>
      <c r="U75" s="3"/>
      <c r="V75" s="3"/>
      <c r="W75" s="3"/>
    </row>
    <row r="76" spans="1:23" ht="19" customHeight="1">
      <c r="A76" s="2"/>
      <c r="B76" s="2"/>
      <c r="C76" s="2"/>
      <c r="D76" s="3"/>
      <c r="E76" s="3"/>
      <c r="F76" s="3"/>
      <c r="G76" s="3"/>
      <c r="H76" s="3"/>
      <c r="I76" s="3"/>
      <c r="J76" s="3"/>
      <c r="K76" s="3"/>
      <c r="L76" s="3"/>
      <c r="M76" s="3"/>
      <c r="N76" s="3"/>
      <c r="O76" s="3"/>
      <c r="P76" s="3"/>
      <c r="Q76" s="3"/>
      <c r="R76" s="3"/>
      <c r="S76" s="3"/>
      <c r="T76" s="3"/>
      <c r="U76" s="3"/>
      <c r="V76" s="3"/>
      <c r="W76" s="3"/>
    </row>
    <row r="77" spans="1:23" ht="19" customHeight="1">
      <c r="A77" s="2"/>
      <c r="B77" s="2"/>
      <c r="C77" s="2"/>
      <c r="D77" s="3"/>
      <c r="E77" s="3"/>
      <c r="F77" s="3"/>
      <c r="G77" s="3"/>
      <c r="H77" s="3"/>
      <c r="I77" s="3"/>
      <c r="J77" s="3"/>
      <c r="K77" s="3"/>
      <c r="L77" s="3"/>
      <c r="M77" s="3"/>
      <c r="N77" s="3"/>
      <c r="O77" s="3"/>
      <c r="P77" s="3"/>
      <c r="Q77" s="3"/>
      <c r="R77" s="3"/>
      <c r="S77" s="3"/>
      <c r="T77" s="3"/>
      <c r="U77" s="3"/>
      <c r="V77" s="3"/>
      <c r="W77" s="3"/>
    </row>
    <row r="78" spans="1:23" ht="19" customHeight="1">
      <c r="A78" s="2"/>
      <c r="B78" s="2"/>
      <c r="C78" s="2"/>
      <c r="D78" s="3"/>
      <c r="E78" s="3"/>
      <c r="F78" s="3"/>
      <c r="G78" s="3"/>
      <c r="H78" s="3"/>
      <c r="I78" s="3"/>
      <c r="J78" s="3"/>
      <c r="K78" s="3"/>
      <c r="L78" s="3"/>
      <c r="M78" s="3"/>
      <c r="N78" s="3"/>
      <c r="O78" s="3"/>
      <c r="P78" s="3"/>
      <c r="Q78" s="3"/>
      <c r="R78" s="3"/>
      <c r="S78" s="3"/>
      <c r="T78" s="3"/>
      <c r="U78" s="3"/>
      <c r="V78" s="3"/>
      <c r="W78" s="3"/>
    </row>
    <row r="79" spans="1:23" ht="19" customHeight="1">
      <c r="A79" s="2"/>
      <c r="B79" s="2"/>
      <c r="C79" s="2"/>
      <c r="D79" s="3"/>
      <c r="E79" s="3"/>
      <c r="F79" s="3"/>
      <c r="G79" s="3"/>
      <c r="H79" s="3"/>
      <c r="I79" s="3"/>
      <c r="J79" s="3"/>
      <c r="K79" s="3"/>
      <c r="L79" s="3"/>
      <c r="M79" s="3"/>
      <c r="N79" s="3"/>
      <c r="O79" s="3"/>
      <c r="P79" s="3"/>
      <c r="Q79" s="3"/>
      <c r="R79" s="3"/>
      <c r="S79" s="3"/>
      <c r="T79" s="3"/>
      <c r="U79" s="3"/>
      <c r="V79" s="3"/>
      <c r="W79" s="3"/>
    </row>
    <row r="80" spans="1:23" ht="19" customHeight="1">
      <c r="A80" s="2"/>
      <c r="B80" s="2"/>
      <c r="C80" s="2"/>
      <c r="D80" s="3"/>
      <c r="E80" s="3"/>
      <c r="F80" s="3"/>
      <c r="G80" s="3"/>
      <c r="H80" s="3"/>
      <c r="I80" s="3"/>
      <c r="J80" s="3"/>
      <c r="K80" s="3"/>
      <c r="L80" s="3"/>
      <c r="M80" s="3"/>
      <c r="N80" s="3"/>
      <c r="O80" s="3"/>
      <c r="P80" s="3"/>
      <c r="Q80" s="3"/>
      <c r="R80" s="3"/>
      <c r="S80" s="3"/>
      <c r="T80" s="3"/>
      <c r="U80" s="3"/>
      <c r="V80" s="3"/>
      <c r="W80" s="3"/>
    </row>
    <row r="81" spans="1:23" ht="19" customHeight="1">
      <c r="A81" s="2"/>
      <c r="B81" s="2"/>
      <c r="C81" s="2"/>
      <c r="D81" s="3"/>
      <c r="E81" s="3"/>
      <c r="F81" s="3"/>
      <c r="G81" s="3"/>
      <c r="H81" s="3"/>
      <c r="I81" s="3"/>
      <c r="J81" s="3"/>
      <c r="K81" s="3"/>
      <c r="L81" s="3"/>
      <c r="M81" s="3"/>
      <c r="N81" s="3"/>
      <c r="O81" s="3"/>
      <c r="P81" s="3"/>
      <c r="Q81" s="3"/>
      <c r="R81" s="3"/>
      <c r="S81" s="3"/>
      <c r="T81" s="3"/>
      <c r="U81" s="3"/>
      <c r="V81" s="3"/>
      <c r="W81" s="3"/>
    </row>
    <row r="82" spans="1:23" ht="19" customHeight="1">
      <c r="A82" s="2"/>
      <c r="B82" s="2"/>
      <c r="C82" s="2"/>
      <c r="D82" s="3"/>
      <c r="E82" s="3"/>
      <c r="F82" s="3"/>
      <c r="G82" s="3"/>
      <c r="H82" s="3"/>
      <c r="I82" s="3"/>
      <c r="J82" s="3"/>
      <c r="K82" s="3"/>
      <c r="L82" s="3"/>
      <c r="M82" s="3"/>
      <c r="N82" s="3"/>
      <c r="O82" s="3"/>
      <c r="P82" s="3"/>
      <c r="Q82" s="3"/>
      <c r="R82" s="3"/>
      <c r="S82" s="3"/>
      <c r="T82" s="3"/>
      <c r="U82" s="3"/>
      <c r="V82" s="3"/>
      <c r="W82" s="3"/>
    </row>
    <row r="83" spans="1:23" ht="19" customHeight="1">
      <c r="A83" s="2"/>
      <c r="B83" s="2"/>
      <c r="C83" s="2"/>
      <c r="D83" s="3"/>
      <c r="E83" s="3"/>
      <c r="F83" s="3"/>
      <c r="G83" s="3"/>
      <c r="H83" s="3"/>
      <c r="I83" s="3"/>
      <c r="J83" s="3"/>
      <c r="K83" s="3"/>
      <c r="L83" s="3"/>
      <c r="M83" s="3"/>
      <c r="N83" s="3"/>
      <c r="O83" s="3"/>
      <c r="P83" s="3"/>
      <c r="Q83" s="3"/>
      <c r="R83" s="3"/>
      <c r="S83" s="3"/>
      <c r="T83" s="3"/>
      <c r="U83" s="3"/>
      <c r="V83" s="3"/>
      <c r="W83" s="3"/>
    </row>
    <row r="84" spans="1:23" ht="19" customHeight="1">
      <c r="A84" s="2"/>
      <c r="B84" s="2"/>
      <c r="C84" s="2"/>
      <c r="D84" s="3"/>
      <c r="E84" s="3"/>
      <c r="F84" s="3"/>
      <c r="G84" s="3"/>
      <c r="H84" s="3"/>
      <c r="I84" s="3"/>
      <c r="J84" s="3"/>
      <c r="K84" s="3"/>
      <c r="L84" s="3"/>
      <c r="M84" s="3"/>
      <c r="N84" s="3"/>
      <c r="O84" s="3"/>
      <c r="P84" s="3"/>
      <c r="Q84" s="3"/>
      <c r="R84" s="3"/>
      <c r="S84" s="3"/>
      <c r="T84" s="3"/>
      <c r="U84" s="3"/>
      <c r="V84" s="3"/>
      <c r="W84" s="3"/>
    </row>
    <row r="85" spans="1:23" ht="19" customHeight="1">
      <c r="A85" s="2"/>
      <c r="B85" s="2"/>
      <c r="C85" s="2"/>
      <c r="D85" s="3"/>
      <c r="E85" s="3"/>
      <c r="F85" s="3"/>
      <c r="G85" s="3"/>
      <c r="H85" s="3"/>
      <c r="I85" s="3"/>
      <c r="J85" s="3"/>
      <c r="K85" s="3"/>
      <c r="L85" s="3"/>
      <c r="M85" s="3"/>
      <c r="N85" s="3"/>
      <c r="O85" s="3"/>
      <c r="P85" s="3"/>
      <c r="Q85" s="3"/>
      <c r="R85" s="3"/>
      <c r="S85" s="3"/>
      <c r="T85" s="3"/>
      <c r="U85" s="3"/>
      <c r="V85" s="3"/>
      <c r="W85" s="3"/>
    </row>
    <row r="86" spans="1:23" ht="19" customHeight="1">
      <c r="A86" s="2"/>
      <c r="B86" s="2"/>
      <c r="C86" s="2"/>
      <c r="D86" s="3"/>
      <c r="E86" s="3"/>
      <c r="F86" s="3"/>
      <c r="G86" s="3"/>
      <c r="H86" s="3"/>
      <c r="I86" s="3"/>
      <c r="J86" s="3"/>
      <c r="K86" s="3"/>
      <c r="L86" s="3"/>
      <c r="M86" s="3"/>
      <c r="N86" s="3"/>
      <c r="O86" s="3"/>
      <c r="P86" s="3"/>
      <c r="Q86" s="3"/>
      <c r="R86" s="3"/>
      <c r="S86" s="3"/>
      <c r="T86" s="3"/>
      <c r="U86" s="3"/>
      <c r="V86" s="3"/>
      <c r="W86" s="3"/>
    </row>
    <row r="87" spans="1:23" ht="19" customHeight="1">
      <c r="A87" s="2"/>
      <c r="B87" s="2"/>
      <c r="C87" s="2"/>
      <c r="D87" s="3"/>
      <c r="E87" s="3"/>
      <c r="F87" s="3"/>
      <c r="G87" s="3"/>
      <c r="H87" s="3"/>
      <c r="I87" s="3"/>
      <c r="J87" s="3"/>
      <c r="K87" s="3"/>
      <c r="L87" s="3"/>
      <c r="M87" s="3"/>
      <c r="N87" s="3"/>
      <c r="O87" s="3"/>
      <c r="P87" s="3"/>
      <c r="Q87" s="3"/>
      <c r="R87" s="3"/>
      <c r="S87" s="3"/>
      <c r="T87" s="3"/>
      <c r="U87" s="3"/>
      <c r="V87" s="3"/>
      <c r="W87" s="3"/>
    </row>
    <row r="88" spans="1:23" ht="19" customHeight="1">
      <c r="A88" s="2"/>
      <c r="B88" s="2"/>
      <c r="C88" s="2"/>
      <c r="D88" s="3"/>
      <c r="E88" s="3"/>
      <c r="F88" s="3"/>
      <c r="G88" s="3"/>
      <c r="H88" s="3"/>
      <c r="I88" s="3"/>
      <c r="J88" s="3"/>
      <c r="K88" s="3"/>
      <c r="L88" s="3"/>
      <c r="M88" s="3"/>
      <c r="N88" s="3"/>
      <c r="O88" s="3"/>
      <c r="P88" s="3"/>
      <c r="Q88" s="3"/>
      <c r="R88" s="3"/>
      <c r="S88" s="3"/>
      <c r="T88" s="3"/>
      <c r="U88" s="3"/>
      <c r="V88" s="3"/>
      <c r="W88" s="3"/>
    </row>
    <row r="89" spans="1:23" ht="19" customHeight="1">
      <c r="A89" s="2"/>
      <c r="B89" s="2"/>
      <c r="C89" s="2"/>
      <c r="D89" s="3"/>
      <c r="E89" s="3"/>
      <c r="F89" s="3"/>
      <c r="G89" s="3"/>
      <c r="H89" s="3"/>
      <c r="I89" s="3"/>
      <c r="J89" s="3"/>
      <c r="K89" s="3"/>
      <c r="L89" s="3"/>
      <c r="M89" s="3"/>
      <c r="N89" s="3"/>
      <c r="O89" s="3"/>
      <c r="P89" s="3"/>
      <c r="Q89" s="3"/>
      <c r="R89" s="3"/>
      <c r="S89" s="3"/>
      <c r="T89" s="3"/>
      <c r="U89" s="3"/>
      <c r="V89" s="3"/>
      <c r="W89" s="3"/>
    </row>
    <row r="90" spans="1:23" ht="19" customHeight="1">
      <c r="A90" s="2"/>
      <c r="B90" s="2"/>
      <c r="C90" s="2"/>
      <c r="D90" s="3"/>
      <c r="E90" s="3"/>
      <c r="F90" s="3"/>
      <c r="G90" s="3"/>
      <c r="H90" s="3"/>
      <c r="I90" s="3"/>
      <c r="J90" s="3"/>
      <c r="K90" s="3"/>
      <c r="L90" s="3"/>
      <c r="M90" s="3"/>
      <c r="N90" s="3"/>
      <c r="O90" s="3"/>
      <c r="P90" s="3"/>
      <c r="Q90" s="3"/>
      <c r="R90" s="3"/>
      <c r="S90" s="3"/>
      <c r="T90" s="3"/>
      <c r="U90" s="3"/>
      <c r="V90" s="3"/>
      <c r="W90" s="3"/>
    </row>
    <row r="91" spans="1:23" ht="19" customHeight="1">
      <c r="A91" s="2"/>
      <c r="B91" s="2"/>
      <c r="C91" s="2"/>
      <c r="D91" s="3"/>
      <c r="E91" s="3"/>
      <c r="F91" s="3"/>
      <c r="G91" s="3"/>
      <c r="H91" s="3"/>
      <c r="I91" s="3"/>
      <c r="J91" s="3"/>
      <c r="K91" s="3"/>
      <c r="L91" s="3"/>
      <c r="M91" s="3"/>
      <c r="N91" s="3"/>
      <c r="O91" s="3"/>
      <c r="P91" s="3"/>
      <c r="Q91" s="3"/>
      <c r="R91" s="3"/>
      <c r="S91" s="3"/>
      <c r="T91" s="3"/>
      <c r="U91" s="3"/>
      <c r="V91" s="3"/>
      <c r="W91" s="3"/>
    </row>
    <row r="92" spans="1:23" ht="19" customHeight="1">
      <c r="A92" s="2"/>
      <c r="B92" s="2"/>
      <c r="C92" s="2"/>
      <c r="D92" s="3"/>
      <c r="E92" s="3"/>
      <c r="F92" s="3"/>
      <c r="G92" s="3"/>
      <c r="H92" s="3"/>
      <c r="I92" s="3"/>
      <c r="J92" s="3"/>
      <c r="K92" s="3"/>
      <c r="L92" s="3"/>
      <c r="M92" s="3"/>
      <c r="N92" s="3"/>
      <c r="O92" s="3"/>
      <c r="P92" s="3"/>
      <c r="Q92" s="3"/>
      <c r="R92" s="3"/>
      <c r="S92" s="3"/>
      <c r="T92" s="3"/>
      <c r="U92" s="3"/>
      <c r="V92" s="3"/>
      <c r="W92" s="3"/>
    </row>
    <row r="93" spans="1:23" ht="19" customHeight="1">
      <c r="A93" s="2"/>
      <c r="B93" s="2"/>
      <c r="C93" s="2"/>
      <c r="D93" s="3"/>
      <c r="E93" s="3"/>
      <c r="F93" s="3"/>
      <c r="G93" s="3"/>
      <c r="H93" s="3"/>
      <c r="I93" s="3"/>
      <c r="J93" s="3"/>
      <c r="K93" s="3"/>
      <c r="L93" s="3"/>
      <c r="M93" s="3"/>
      <c r="N93" s="3"/>
      <c r="O93" s="3"/>
      <c r="P93" s="3"/>
      <c r="Q93" s="3"/>
      <c r="R93" s="3"/>
      <c r="S93" s="3"/>
      <c r="T93" s="3"/>
      <c r="U93" s="3"/>
      <c r="V93" s="3"/>
      <c r="W93" s="3"/>
    </row>
    <row r="94" spans="1:23" ht="19" customHeight="1">
      <c r="A94" s="2"/>
      <c r="B94" s="2"/>
      <c r="C94" s="2"/>
      <c r="D94" s="3"/>
      <c r="E94" s="3"/>
      <c r="F94" s="3"/>
      <c r="G94" s="3"/>
      <c r="H94" s="3"/>
      <c r="I94" s="3"/>
      <c r="J94" s="3"/>
      <c r="K94" s="3"/>
      <c r="L94" s="3"/>
      <c r="M94" s="3"/>
      <c r="N94" s="3"/>
      <c r="O94" s="3"/>
      <c r="P94" s="3"/>
      <c r="Q94" s="3"/>
      <c r="R94" s="3"/>
      <c r="S94" s="3"/>
      <c r="T94" s="3"/>
      <c r="U94" s="3"/>
      <c r="V94" s="3"/>
      <c r="W94" s="3"/>
    </row>
    <row r="95" spans="1:23" ht="19" customHeight="1">
      <c r="A95" s="2"/>
      <c r="B95" s="2"/>
      <c r="C95" s="2"/>
      <c r="D95" s="3"/>
      <c r="E95" s="3"/>
      <c r="F95" s="3"/>
      <c r="G95" s="3"/>
      <c r="H95" s="3"/>
      <c r="I95" s="3"/>
      <c r="J95" s="3"/>
      <c r="K95" s="3"/>
      <c r="L95" s="3"/>
      <c r="M95" s="3"/>
      <c r="N95" s="3"/>
      <c r="O95" s="3"/>
      <c r="P95" s="3"/>
      <c r="Q95" s="3"/>
      <c r="R95" s="3"/>
      <c r="S95" s="3"/>
      <c r="T95" s="3"/>
      <c r="U95" s="3"/>
      <c r="V95" s="3"/>
      <c r="W95" s="3"/>
    </row>
    <row r="96" spans="1:23" ht="19" customHeight="1">
      <c r="A96" s="2"/>
      <c r="B96" s="2"/>
      <c r="C96" s="2"/>
      <c r="D96" s="3"/>
      <c r="E96" s="3"/>
      <c r="F96" s="3"/>
      <c r="G96" s="3"/>
      <c r="H96" s="3"/>
      <c r="I96" s="3"/>
      <c r="J96" s="3"/>
      <c r="K96" s="3"/>
      <c r="L96" s="3"/>
      <c r="M96" s="3"/>
      <c r="N96" s="3"/>
      <c r="O96" s="3"/>
      <c r="P96" s="3"/>
      <c r="Q96" s="3"/>
      <c r="R96" s="3"/>
      <c r="S96" s="3"/>
      <c r="T96" s="3"/>
      <c r="U96" s="3"/>
      <c r="V96" s="3"/>
      <c r="W96" s="3"/>
    </row>
    <row r="97" spans="1:23" ht="19" customHeight="1">
      <c r="A97" s="2"/>
      <c r="B97" s="2"/>
      <c r="C97" s="2"/>
      <c r="D97" s="3"/>
      <c r="E97" s="3"/>
      <c r="F97" s="3"/>
      <c r="G97" s="3"/>
      <c r="H97" s="3"/>
      <c r="I97" s="3"/>
      <c r="J97" s="3"/>
      <c r="K97" s="3"/>
      <c r="L97" s="3"/>
      <c r="M97" s="3"/>
      <c r="N97" s="3"/>
      <c r="O97" s="3"/>
      <c r="P97" s="3"/>
      <c r="Q97" s="3"/>
      <c r="R97" s="3"/>
      <c r="S97" s="3"/>
      <c r="T97" s="3"/>
      <c r="U97" s="3"/>
      <c r="V97" s="3"/>
      <c r="W97" s="3"/>
    </row>
    <row r="98" spans="1:23" ht="19" customHeight="1">
      <c r="A98" s="2"/>
      <c r="B98" s="2"/>
      <c r="C98" s="2"/>
      <c r="D98" s="3"/>
      <c r="E98" s="3"/>
      <c r="F98" s="3"/>
      <c r="G98" s="3"/>
      <c r="H98" s="3"/>
      <c r="I98" s="3"/>
      <c r="J98" s="3"/>
      <c r="K98" s="3"/>
      <c r="L98" s="3"/>
      <c r="M98" s="3"/>
      <c r="N98" s="3"/>
      <c r="O98" s="3"/>
      <c r="P98" s="3"/>
      <c r="Q98" s="3"/>
      <c r="R98" s="3"/>
      <c r="S98" s="3"/>
      <c r="T98" s="3"/>
      <c r="U98" s="3"/>
      <c r="V98" s="3"/>
      <c r="W98" s="3"/>
    </row>
    <row r="99" spans="1:23" ht="19" customHeight="1">
      <c r="A99" s="2"/>
      <c r="B99" s="2"/>
      <c r="C99" s="2"/>
      <c r="D99" s="3"/>
      <c r="E99" s="3"/>
      <c r="F99" s="3"/>
      <c r="G99" s="3"/>
      <c r="H99" s="3"/>
      <c r="I99" s="3"/>
      <c r="J99" s="3"/>
      <c r="K99" s="3"/>
      <c r="L99" s="3"/>
      <c r="M99" s="3"/>
      <c r="N99" s="3"/>
      <c r="O99" s="3"/>
      <c r="P99" s="3"/>
      <c r="Q99" s="3"/>
      <c r="R99" s="3"/>
      <c r="S99" s="3"/>
      <c r="T99" s="3"/>
      <c r="U99" s="3"/>
      <c r="V99" s="3"/>
      <c r="W99" s="3"/>
    </row>
    <row r="100" spans="1:23" ht="19" customHeight="1">
      <c r="A100" s="2"/>
      <c r="B100" s="2"/>
      <c r="C100" s="2"/>
      <c r="D100" s="3"/>
      <c r="E100" s="3"/>
      <c r="F100" s="3"/>
      <c r="G100" s="3"/>
      <c r="H100" s="3"/>
      <c r="I100" s="3"/>
      <c r="J100" s="3"/>
      <c r="K100" s="3"/>
      <c r="L100" s="3"/>
      <c r="M100" s="3"/>
      <c r="N100" s="3"/>
      <c r="O100" s="3"/>
      <c r="P100" s="3"/>
      <c r="Q100" s="3"/>
      <c r="R100" s="3"/>
      <c r="S100" s="3"/>
      <c r="T100" s="3"/>
      <c r="U100" s="3"/>
      <c r="V100" s="3"/>
      <c r="W100" s="3"/>
    </row>
  </sheetData>
  <conditionalFormatting sqref="D38:F42">
    <cfRule type="cellIs" dxfId="5" priority="4" operator="notBetween">
      <formula>-0.005</formula>
      <formula>0.005</formula>
    </cfRule>
  </conditionalFormatting>
  <conditionalFormatting sqref="D15:J24">
    <cfRule type="cellIs" dxfId="4" priority="2" operator="notBetween">
      <formula>-0.005</formula>
      <formula>0.005</formula>
    </cfRule>
  </conditionalFormatting>
  <conditionalFormatting sqref="D25:J25">
    <cfRule type="cellIs" dxfId="3" priority="6" operator="notBetween">
      <formula>-0.1</formula>
      <formula>0.1</formula>
    </cfRule>
  </conditionalFormatting>
  <conditionalFormatting sqref="D27:J33">
    <cfRule type="cellIs" dxfId="2" priority="3" operator="notBetween">
      <formula>-0.005</formula>
      <formula>0.005</formula>
    </cfRule>
  </conditionalFormatting>
  <conditionalFormatting sqref="D9:Q10">
    <cfRule type="cellIs" dxfId="1" priority="1" operator="notBetween">
      <formula>-0.005</formula>
      <formula>0.005</formula>
    </cfRule>
  </conditionalFormatting>
  <conditionalFormatting sqref="R47:W55">
    <cfRule type="cellIs" dxfId="0" priority="5" operator="notBetween">
      <formula>-0.005</formula>
      <formula>0.005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7ADB6"/>
  </sheetPr>
  <dimension ref="A1:W100"/>
  <sheetViews>
    <sheetView showGridLines="0" workbookViewId="0"/>
  </sheetViews>
  <sheetFormatPr baseColWidth="10" defaultColWidth="8.83203125" defaultRowHeight="14"/>
  <cols>
    <col min="1" max="2" width="2" customWidth="1"/>
    <col min="3" max="3" width="32" customWidth="1"/>
    <col min="4" max="4" width="110" customWidth="1"/>
    <col min="5" max="23" width="13" customWidth="1"/>
  </cols>
  <sheetData>
    <row r="1" spans="1:23" ht="19" customHeight="1">
      <c r="A1" s="2"/>
      <c r="B1" s="2"/>
      <c r="C1" s="2"/>
      <c r="D1" s="3"/>
      <c r="E1" s="3"/>
      <c r="F1" s="3"/>
      <c r="G1" s="3"/>
      <c r="H1" s="3"/>
      <c r="I1" s="3"/>
      <c r="J1" s="3"/>
      <c r="K1" s="3"/>
      <c r="L1" s="3"/>
      <c r="M1" s="3"/>
      <c r="N1" s="3"/>
      <c r="O1" s="3"/>
      <c r="P1" s="3"/>
      <c r="Q1" s="3"/>
      <c r="R1" s="3"/>
      <c r="S1" s="3"/>
      <c r="T1" s="3"/>
      <c r="U1" s="3"/>
      <c r="V1" s="3"/>
      <c r="W1" s="3"/>
    </row>
    <row r="2" spans="1:23" ht="19" customHeight="1">
      <c r="A2" s="2"/>
      <c r="B2" s="2"/>
      <c r="C2" s="4" t="s">
        <v>344</v>
      </c>
      <c r="D2" s="3"/>
      <c r="E2" s="3"/>
      <c r="F2" s="3"/>
      <c r="G2" s="3"/>
      <c r="H2" s="3"/>
      <c r="I2" s="3"/>
      <c r="J2" s="3"/>
      <c r="K2" s="3"/>
      <c r="L2" s="3"/>
      <c r="M2" s="3"/>
      <c r="N2" s="3"/>
      <c r="O2" s="3"/>
      <c r="P2" s="3"/>
      <c r="Q2" s="3"/>
      <c r="R2" s="3"/>
      <c r="S2" s="3"/>
      <c r="T2" s="3"/>
      <c r="U2" s="3"/>
      <c r="V2" s="3"/>
      <c r="W2" s="3"/>
    </row>
    <row r="3" spans="1:23" ht="19" customHeight="1">
      <c r="A3" s="2"/>
      <c r="B3" s="2"/>
      <c r="C3" s="5"/>
      <c r="D3" s="6"/>
      <c r="E3" s="6"/>
      <c r="F3" s="6"/>
      <c r="G3" s="6"/>
      <c r="H3" s="6"/>
      <c r="I3" s="6"/>
      <c r="J3" s="6"/>
      <c r="K3" s="6"/>
      <c r="L3" s="3"/>
      <c r="M3" s="3"/>
      <c r="N3" s="3"/>
      <c r="O3" s="3"/>
      <c r="P3" s="3"/>
      <c r="Q3" s="3"/>
      <c r="R3" s="3"/>
      <c r="S3" s="3"/>
      <c r="T3" s="3"/>
      <c r="U3" s="3"/>
      <c r="V3" s="3"/>
      <c r="W3" s="3"/>
    </row>
    <row r="4" spans="1:23" ht="19" customHeight="1">
      <c r="A4" s="2"/>
      <c r="B4" s="2"/>
      <c r="C4" s="2" t="s">
        <v>1</v>
      </c>
      <c r="D4" s="8" t="str">
        <f>Assumptions!$E$4</f>
        <v>Base</v>
      </c>
      <c r="E4" s="9"/>
      <c r="F4" s="10"/>
      <c r="G4" s="3"/>
      <c r="H4" s="3"/>
      <c r="I4" s="3"/>
      <c r="J4" s="3"/>
      <c r="K4" s="3"/>
      <c r="L4" s="3"/>
      <c r="M4" s="3"/>
      <c r="N4" s="3"/>
      <c r="O4" s="3"/>
      <c r="P4" s="3"/>
      <c r="Q4" s="3"/>
      <c r="R4" s="3"/>
      <c r="S4" s="3"/>
      <c r="T4" s="3"/>
      <c r="U4" s="3"/>
      <c r="V4" s="3"/>
      <c r="W4" s="3"/>
    </row>
    <row r="5" spans="1:23" ht="19" customHeight="1">
      <c r="A5" s="2"/>
      <c r="B5" s="2"/>
      <c r="C5" s="2"/>
      <c r="D5" s="3"/>
      <c r="E5" s="3"/>
      <c r="F5" s="3"/>
      <c r="G5" s="3"/>
      <c r="H5" s="3"/>
      <c r="I5" s="3"/>
      <c r="J5" s="3"/>
      <c r="K5" s="3"/>
      <c r="L5" s="3"/>
      <c r="M5" s="3"/>
      <c r="N5" s="3"/>
      <c r="O5" s="3"/>
      <c r="P5" s="3"/>
      <c r="Q5" s="3"/>
      <c r="R5" s="3"/>
      <c r="S5" s="3"/>
      <c r="T5" s="3"/>
      <c r="U5" s="3"/>
      <c r="V5" s="3"/>
      <c r="W5" s="3"/>
    </row>
    <row r="6" spans="1:23" ht="19" customHeight="1">
      <c r="A6" s="2"/>
      <c r="B6" s="2"/>
      <c r="C6" s="2"/>
      <c r="D6" s="3"/>
      <c r="E6" s="3"/>
      <c r="F6" s="3"/>
      <c r="G6" s="3"/>
      <c r="H6" s="3"/>
      <c r="I6" s="3"/>
      <c r="J6" s="3"/>
      <c r="K6" s="3"/>
      <c r="L6" s="3"/>
      <c r="M6" s="3"/>
      <c r="N6" s="3"/>
      <c r="O6" s="3"/>
      <c r="P6" s="3"/>
      <c r="Q6" s="3"/>
      <c r="R6" s="3"/>
      <c r="S6" s="3"/>
      <c r="T6" s="3"/>
      <c r="U6" s="3"/>
      <c r="V6" s="3"/>
      <c r="W6" s="3"/>
    </row>
    <row r="7" spans="1:23" ht="57" customHeight="1">
      <c r="A7" s="2"/>
      <c r="B7" s="2"/>
      <c r="C7" s="21" t="s">
        <v>345</v>
      </c>
      <c r="D7" s="57" t="s">
        <v>346</v>
      </c>
      <c r="E7" s="3"/>
      <c r="F7" s="3"/>
      <c r="G7" s="3"/>
      <c r="H7" s="3"/>
      <c r="I7" s="3"/>
      <c r="J7" s="3"/>
      <c r="K7" s="3"/>
      <c r="L7" s="3"/>
      <c r="M7" s="3"/>
      <c r="N7" s="3"/>
      <c r="O7" s="3"/>
      <c r="P7" s="3"/>
      <c r="Q7" s="3"/>
      <c r="R7" s="3"/>
      <c r="S7" s="3"/>
      <c r="T7" s="3"/>
      <c r="U7" s="3"/>
      <c r="V7" s="3"/>
      <c r="W7" s="3"/>
    </row>
    <row r="8" spans="1:23" ht="57" customHeight="1">
      <c r="A8" s="2"/>
      <c r="B8" s="2"/>
      <c r="C8" s="21" t="s">
        <v>347</v>
      </c>
      <c r="D8" s="57" t="s">
        <v>348</v>
      </c>
      <c r="E8" s="3"/>
      <c r="F8" s="3"/>
      <c r="G8" s="3"/>
      <c r="H8" s="3"/>
      <c r="I8" s="3"/>
      <c r="J8" s="3"/>
      <c r="K8" s="3"/>
      <c r="L8" s="3"/>
      <c r="M8" s="3"/>
      <c r="N8" s="3"/>
      <c r="O8" s="3"/>
      <c r="P8" s="3"/>
      <c r="Q8" s="3"/>
      <c r="R8" s="3"/>
      <c r="S8" s="3"/>
      <c r="T8" s="3"/>
      <c r="U8" s="3"/>
      <c r="V8" s="3"/>
      <c r="W8" s="3"/>
    </row>
    <row r="9" spans="1:23" ht="57" customHeight="1">
      <c r="A9" s="2"/>
      <c r="B9" s="2"/>
      <c r="C9" s="21" t="s">
        <v>349</v>
      </c>
      <c r="D9" s="57" t="s">
        <v>350</v>
      </c>
      <c r="E9" s="3"/>
      <c r="F9" s="3"/>
      <c r="G9" s="3"/>
      <c r="H9" s="3"/>
      <c r="I9" s="3"/>
      <c r="J9" s="3"/>
      <c r="K9" s="3"/>
      <c r="L9" s="3"/>
      <c r="M9" s="3"/>
      <c r="N9" s="3"/>
      <c r="O9" s="3"/>
      <c r="P9" s="3"/>
      <c r="Q9" s="3"/>
      <c r="R9" s="3"/>
      <c r="S9" s="3"/>
      <c r="T9" s="3"/>
      <c r="U9" s="3"/>
      <c r="V9" s="3"/>
      <c r="W9" s="3"/>
    </row>
    <row r="10" spans="1:23" ht="57" customHeight="1">
      <c r="A10" s="2"/>
      <c r="B10" s="2"/>
      <c r="C10" s="21" t="s">
        <v>351</v>
      </c>
      <c r="D10" s="57" t="s">
        <v>352</v>
      </c>
      <c r="E10" s="3"/>
      <c r="F10" s="3"/>
      <c r="G10" s="3"/>
      <c r="H10" s="3"/>
      <c r="I10" s="3"/>
      <c r="J10" s="3"/>
      <c r="K10" s="3"/>
      <c r="L10" s="3"/>
      <c r="M10" s="3"/>
      <c r="N10" s="3"/>
      <c r="O10" s="3"/>
      <c r="P10" s="3"/>
      <c r="Q10" s="3"/>
      <c r="R10" s="3"/>
      <c r="S10" s="3"/>
      <c r="T10" s="3"/>
      <c r="U10" s="3"/>
      <c r="V10" s="3"/>
      <c r="W10" s="3"/>
    </row>
    <row r="11" spans="1:23" ht="57" customHeight="1">
      <c r="A11" s="2"/>
      <c r="B11" s="2"/>
      <c r="C11" s="21" t="s">
        <v>353</v>
      </c>
      <c r="D11" s="57" t="s">
        <v>354</v>
      </c>
      <c r="E11" s="3"/>
      <c r="F11" s="3"/>
      <c r="G11" s="3"/>
      <c r="H11" s="3"/>
      <c r="I11" s="3"/>
      <c r="J11" s="3"/>
      <c r="K11" s="3"/>
      <c r="L11" s="3"/>
      <c r="M11" s="3"/>
      <c r="N11" s="3"/>
      <c r="O11" s="3"/>
      <c r="P11" s="3"/>
      <c r="Q11" s="3"/>
      <c r="R11" s="3"/>
      <c r="S11" s="3"/>
      <c r="T11" s="3"/>
      <c r="U11" s="3"/>
      <c r="V11" s="3"/>
      <c r="W11" s="3"/>
    </row>
    <row r="12" spans="1:23" ht="57" customHeight="1">
      <c r="A12" s="2"/>
      <c r="B12" s="2"/>
      <c r="C12" s="21" t="s">
        <v>355</v>
      </c>
      <c r="D12" s="57" t="s">
        <v>356</v>
      </c>
      <c r="E12" s="3"/>
      <c r="F12" s="3"/>
      <c r="G12" s="3"/>
      <c r="H12" s="3"/>
      <c r="I12" s="3"/>
      <c r="J12" s="3"/>
      <c r="K12" s="3"/>
      <c r="L12" s="3"/>
      <c r="M12" s="3"/>
      <c r="N12" s="3"/>
      <c r="O12" s="3"/>
      <c r="P12" s="3"/>
      <c r="Q12" s="3"/>
      <c r="R12" s="3"/>
      <c r="S12" s="3"/>
      <c r="T12" s="3"/>
      <c r="U12" s="3"/>
      <c r="V12" s="3"/>
      <c r="W12" s="3"/>
    </row>
    <row r="13" spans="1:23" ht="57" customHeight="1">
      <c r="A13" s="2"/>
      <c r="B13" s="2"/>
      <c r="C13" s="21" t="s">
        <v>357</v>
      </c>
      <c r="D13" s="57" t="s">
        <v>358</v>
      </c>
      <c r="E13" s="3"/>
      <c r="F13" s="3"/>
      <c r="G13" s="3"/>
      <c r="H13" s="3"/>
      <c r="I13" s="3"/>
      <c r="J13" s="3"/>
      <c r="K13" s="3"/>
      <c r="L13" s="3"/>
      <c r="M13" s="3"/>
      <c r="N13" s="3"/>
      <c r="O13" s="3"/>
      <c r="P13" s="3"/>
      <c r="Q13" s="3"/>
      <c r="R13" s="3"/>
      <c r="S13" s="3"/>
      <c r="T13" s="3"/>
      <c r="U13" s="3"/>
      <c r="V13" s="3"/>
      <c r="W13" s="3"/>
    </row>
    <row r="14" spans="1:23" ht="57" customHeight="1">
      <c r="A14" s="2"/>
      <c r="B14" s="2"/>
      <c r="C14" s="21" t="s">
        <v>359</v>
      </c>
      <c r="D14" s="57" t="s">
        <v>360</v>
      </c>
      <c r="E14" s="3"/>
      <c r="F14" s="3"/>
      <c r="G14" s="3"/>
      <c r="H14" s="3"/>
      <c r="I14" s="3"/>
      <c r="J14" s="3"/>
      <c r="K14" s="3"/>
      <c r="L14" s="3"/>
      <c r="M14" s="3"/>
      <c r="N14" s="3"/>
      <c r="O14" s="3"/>
      <c r="P14" s="3"/>
      <c r="Q14" s="3"/>
      <c r="R14" s="3"/>
      <c r="S14" s="3"/>
      <c r="T14" s="3"/>
      <c r="U14" s="3"/>
      <c r="V14" s="3"/>
      <c r="W14" s="3"/>
    </row>
    <row r="15" spans="1:23" ht="57" customHeight="1">
      <c r="A15" s="2"/>
      <c r="B15" s="2"/>
      <c r="C15" s="21" t="s">
        <v>361</v>
      </c>
      <c r="D15" s="57" t="s">
        <v>362</v>
      </c>
      <c r="E15" s="3"/>
      <c r="F15" s="3"/>
      <c r="G15" s="3"/>
      <c r="H15" s="3"/>
      <c r="I15" s="3"/>
      <c r="J15" s="3"/>
      <c r="K15" s="3"/>
      <c r="L15" s="3"/>
      <c r="M15" s="3"/>
      <c r="N15" s="3"/>
      <c r="O15" s="3"/>
      <c r="P15" s="3"/>
      <c r="Q15" s="3"/>
      <c r="R15" s="3"/>
      <c r="S15" s="3"/>
      <c r="T15" s="3"/>
      <c r="U15" s="3"/>
      <c r="V15" s="3"/>
      <c r="W15" s="3"/>
    </row>
    <row r="16" spans="1:23" ht="57" customHeight="1">
      <c r="A16" s="2"/>
      <c r="B16" s="2"/>
      <c r="C16" s="21" t="s">
        <v>363</v>
      </c>
      <c r="D16" s="57" t="s">
        <v>364</v>
      </c>
      <c r="E16" s="3"/>
      <c r="F16" s="3"/>
      <c r="G16" s="3"/>
      <c r="H16" s="3"/>
      <c r="I16" s="3"/>
      <c r="J16" s="3"/>
      <c r="K16" s="3"/>
      <c r="L16" s="3"/>
      <c r="M16" s="3"/>
      <c r="N16" s="3"/>
      <c r="O16" s="3"/>
      <c r="P16" s="3"/>
      <c r="Q16" s="3"/>
      <c r="R16" s="3"/>
      <c r="S16" s="3"/>
      <c r="T16" s="3"/>
      <c r="U16" s="3"/>
      <c r="V16" s="3"/>
      <c r="W16" s="3"/>
    </row>
    <row r="17" spans="1:23" ht="57" customHeight="1">
      <c r="A17" s="2"/>
      <c r="B17" s="2"/>
      <c r="C17" s="21" t="s">
        <v>365</v>
      </c>
      <c r="D17" s="57" t="s">
        <v>366</v>
      </c>
      <c r="E17" s="3"/>
      <c r="F17" s="3"/>
      <c r="G17" s="3"/>
      <c r="H17" s="3"/>
      <c r="I17" s="3"/>
      <c r="J17" s="3"/>
      <c r="K17" s="3"/>
      <c r="L17" s="3"/>
      <c r="M17" s="3"/>
      <c r="N17" s="3"/>
      <c r="O17" s="3"/>
      <c r="P17" s="3"/>
      <c r="Q17" s="3"/>
      <c r="R17" s="3"/>
      <c r="S17" s="3"/>
      <c r="T17" s="3"/>
      <c r="U17" s="3"/>
      <c r="V17" s="3"/>
      <c r="W17" s="3"/>
    </row>
    <row r="18" spans="1:23" ht="57" customHeight="1">
      <c r="A18" s="2"/>
      <c r="B18" s="2"/>
      <c r="C18" s="21" t="s">
        <v>367</v>
      </c>
      <c r="D18" s="57" t="s">
        <v>368</v>
      </c>
      <c r="E18" s="3"/>
      <c r="F18" s="3"/>
      <c r="G18" s="3"/>
      <c r="H18" s="3"/>
      <c r="I18" s="3"/>
      <c r="J18" s="3"/>
      <c r="K18" s="3"/>
      <c r="L18" s="3"/>
      <c r="M18" s="3"/>
      <c r="N18" s="3"/>
      <c r="O18" s="3"/>
      <c r="P18" s="3"/>
      <c r="Q18" s="3"/>
      <c r="R18" s="3"/>
      <c r="S18" s="3"/>
      <c r="T18" s="3"/>
      <c r="U18" s="3"/>
      <c r="V18" s="3"/>
      <c r="W18" s="3"/>
    </row>
    <row r="19" spans="1:23" ht="57" customHeight="1">
      <c r="A19" s="2"/>
      <c r="B19" s="2"/>
      <c r="C19" s="21" t="s">
        <v>323</v>
      </c>
      <c r="D19" s="57" t="s">
        <v>369</v>
      </c>
      <c r="E19" s="3"/>
      <c r="F19" s="3"/>
      <c r="G19" s="3"/>
      <c r="H19" s="3"/>
      <c r="I19" s="3"/>
      <c r="J19" s="3"/>
      <c r="K19" s="3"/>
      <c r="L19" s="3"/>
      <c r="M19" s="3"/>
      <c r="N19" s="3"/>
      <c r="O19" s="3"/>
      <c r="P19" s="3"/>
      <c r="Q19" s="3"/>
      <c r="R19" s="3"/>
      <c r="S19" s="3"/>
      <c r="T19" s="3"/>
      <c r="U19" s="3"/>
      <c r="V19" s="3"/>
      <c r="W19" s="3"/>
    </row>
    <row r="20" spans="1:23" ht="57" customHeight="1">
      <c r="A20" s="2"/>
      <c r="B20" s="2"/>
      <c r="C20" s="21" t="s">
        <v>370</v>
      </c>
      <c r="D20" s="57" t="s">
        <v>371</v>
      </c>
      <c r="E20" s="3"/>
      <c r="F20" s="3"/>
      <c r="G20" s="3"/>
      <c r="H20" s="3"/>
      <c r="I20" s="3"/>
      <c r="J20" s="3"/>
      <c r="K20" s="3"/>
      <c r="L20" s="3"/>
      <c r="M20" s="3"/>
      <c r="N20" s="3"/>
      <c r="O20" s="3"/>
      <c r="P20" s="3"/>
      <c r="Q20" s="3"/>
      <c r="R20" s="3"/>
      <c r="S20" s="3"/>
      <c r="T20" s="3"/>
      <c r="U20" s="3"/>
      <c r="V20" s="3"/>
      <c r="W20" s="3"/>
    </row>
    <row r="21" spans="1:23" ht="57" customHeight="1">
      <c r="A21" s="2"/>
      <c r="B21" s="2"/>
      <c r="C21" s="21" t="s">
        <v>372</v>
      </c>
      <c r="D21" s="57" t="s">
        <v>373</v>
      </c>
      <c r="E21" s="3"/>
      <c r="F21" s="3"/>
      <c r="G21" s="3"/>
      <c r="H21" s="3"/>
      <c r="I21" s="3"/>
      <c r="J21" s="3"/>
      <c r="K21" s="3"/>
      <c r="L21" s="3"/>
      <c r="M21" s="3"/>
      <c r="N21" s="3"/>
      <c r="O21" s="3"/>
      <c r="P21" s="3"/>
      <c r="Q21" s="3"/>
      <c r="R21" s="3"/>
      <c r="S21" s="3"/>
      <c r="T21" s="3"/>
      <c r="U21" s="3"/>
      <c r="V21" s="3"/>
      <c r="W21" s="3"/>
    </row>
    <row r="22" spans="1:23" ht="57" customHeight="1">
      <c r="A22" s="2"/>
      <c r="B22" s="2"/>
      <c r="C22" s="21" t="s">
        <v>374</v>
      </c>
      <c r="D22" s="57" t="s">
        <v>375</v>
      </c>
      <c r="E22" s="3"/>
      <c r="F22" s="3"/>
      <c r="G22" s="3"/>
      <c r="H22" s="3"/>
      <c r="I22" s="3"/>
      <c r="J22" s="3"/>
      <c r="K22" s="3"/>
      <c r="L22" s="3"/>
      <c r="M22" s="3"/>
      <c r="N22" s="3"/>
      <c r="O22" s="3"/>
      <c r="P22" s="3"/>
      <c r="Q22" s="3"/>
      <c r="R22" s="3"/>
      <c r="S22" s="3"/>
      <c r="T22" s="3"/>
      <c r="U22" s="3"/>
      <c r="V22" s="3"/>
      <c r="W22" s="3"/>
    </row>
    <row r="23" spans="1:23" ht="57" customHeight="1">
      <c r="A23" s="2"/>
      <c r="B23" s="2"/>
      <c r="C23" s="21" t="s">
        <v>376</v>
      </c>
      <c r="D23" s="57" t="s">
        <v>377</v>
      </c>
      <c r="E23" s="3"/>
      <c r="F23" s="3"/>
      <c r="G23" s="3"/>
      <c r="H23" s="3"/>
      <c r="I23" s="3"/>
      <c r="J23" s="3"/>
      <c r="K23" s="3"/>
      <c r="L23" s="3"/>
      <c r="M23" s="3"/>
      <c r="N23" s="3"/>
      <c r="O23" s="3"/>
      <c r="P23" s="3"/>
      <c r="Q23" s="3"/>
      <c r="R23" s="3"/>
      <c r="S23" s="3"/>
      <c r="T23" s="3"/>
      <c r="U23" s="3"/>
      <c r="V23" s="3"/>
      <c r="W23" s="3"/>
    </row>
    <row r="24" spans="1:23" ht="57" customHeight="1">
      <c r="A24" s="2"/>
      <c r="B24" s="2"/>
      <c r="C24" s="21" t="s">
        <v>378</v>
      </c>
      <c r="D24" s="57" t="s">
        <v>379</v>
      </c>
      <c r="E24" s="3"/>
      <c r="F24" s="3"/>
      <c r="G24" s="3"/>
      <c r="H24" s="3"/>
      <c r="I24" s="3"/>
      <c r="J24" s="3"/>
      <c r="K24" s="3"/>
      <c r="L24" s="3"/>
      <c r="M24" s="3"/>
      <c r="N24" s="3"/>
      <c r="O24" s="3"/>
      <c r="P24" s="3"/>
      <c r="Q24" s="3"/>
      <c r="R24" s="3"/>
      <c r="S24" s="3"/>
      <c r="T24" s="3"/>
      <c r="U24" s="3"/>
      <c r="V24" s="3"/>
      <c r="W24" s="3"/>
    </row>
    <row r="25" spans="1:23" ht="57" customHeight="1">
      <c r="A25" s="2"/>
      <c r="B25" s="2"/>
      <c r="C25" s="21" t="s">
        <v>380</v>
      </c>
      <c r="D25" s="57" t="s">
        <v>381</v>
      </c>
      <c r="E25" s="3"/>
      <c r="F25" s="3"/>
      <c r="G25" s="3"/>
      <c r="H25" s="3"/>
      <c r="I25" s="3"/>
      <c r="J25" s="3"/>
      <c r="K25" s="3"/>
      <c r="L25" s="3"/>
      <c r="M25" s="3"/>
      <c r="N25" s="3"/>
      <c r="O25" s="3"/>
      <c r="P25" s="3"/>
      <c r="Q25" s="3"/>
      <c r="R25" s="3"/>
      <c r="S25" s="3"/>
      <c r="T25" s="3"/>
      <c r="U25" s="3"/>
      <c r="V25" s="3"/>
      <c r="W25" s="3"/>
    </row>
    <row r="26" spans="1:23" ht="57" customHeight="1">
      <c r="A26" s="2"/>
      <c r="B26" s="2"/>
      <c r="C26" s="21" t="s">
        <v>382</v>
      </c>
      <c r="D26" s="57" t="s">
        <v>383</v>
      </c>
      <c r="E26" s="3"/>
      <c r="F26" s="3"/>
      <c r="G26" s="3"/>
      <c r="H26" s="3"/>
      <c r="I26" s="3"/>
      <c r="J26" s="3"/>
      <c r="K26" s="3"/>
      <c r="L26" s="3"/>
      <c r="M26" s="3"/>
      <c r="N26" s="3"/>
      <c r="O26" s="3"/>
      <c r="P26" s="3"/>
      <c r="Q26" s="3"/>
      <c r="R26" s="3"/>
      <c r="S26" s="3"/>
      <c r="T26" s="3"/>
      <c r="U26" s="3"/>
      <c r="V26" s="3"/>
      <c r="W26" s="3"/>
    </row>
    <row r="27" spans="1:23" ht="57" customHeight="1">
      <c r="A27" s="2"/>
      <c r="B27" s="2"/>
      <c r="C27" s="21" t="s">
        <v>384</v>
      </c>
      <c r="D27" s="57" t="s">
        <v>385</v>
      </c>
      <c r="E27" s="3"/>
      <c r="F27" s="3"/>
      <c r="G27" s="3"/>
      <c r="H27" s="3"/>
      <c r="I27" s="3"/>
      <c r="J27" s="3"/>
      <c r="K27" s="3"/>
      <c r="L27" s="3"/>
      <c r="M27" s="3"/>
      <c r="N27" s="3"/>
      <c r="O27" s="3"/>
      <c r="P27" s="3"/>
      <c r="Q27" s="3"/>
      <c r="R27" s="3"/>
      <c r="S27" s="3"/>
      <c r="T27" s="3"/>
      <c r="U27" s="3"/>
      <c r="V27" s="3"/>
      <c r="W27" s="3"/>
    </row>
    <row r="28" spans="1:23" ht="57" customHeight="1">
      <c r="A28" s="2"/>
      <c r="B28" s="2"/>
      <c r="C28" s="21" t="s">
        <v>386</v>
      </c>
      <c r="D28" s="57" t="s">
        <v>387</v>
      </c>
      <c r="E28" s="3"/>
      <c r="F28" s="3"/>
      <c r="G28" s="3"/>
      <c r="H28" s="3"/>
      <c r="I28" s="3"/>
      <c r="J28" s="3"/>
      <c r="K28" s="3"/>
      <c r="L28" s="3"/>
      <c r="M28" s="3"/>
      <c r="N28" s="3"/>
      <c r="O28" s="3"/>
      <c r="P28" s="3"/>
      <c r="Q28" s="3"/>
      <c r="R28" s="3"/>
      <c r="S28" s="3"/>
      <c r="T28" s="3"/>
      <c r="U28" s="3"/>
      <c r="V28" s="3"/>
      <c r="W28" s="3"/>
    </row>
    <row r="29" spans="1:23" ht="19" customHeight="1">
      <c r="A29" s="2"/>
      <c r="B29" s="2"/>
      <c r="C29" s="2"/>
      <c r="D29" s="3"/>
      <c r="E29" s="3"/>
      <c r="F29" s="3"/>
      <c r="G29" s="3"/>
      <c r="H29" s="3"/>
      <c r="I29" s="3"/>
      <c r="J29" s="3"/>
      <c r="K29" s="3"/>
      <c r="L29" s="3"/>
      <c r="M29" s="3"/>
      <c r="N29" s="3"/>
      <c r="O29" s="3"/>
      <c r="P29" s="3"/>
      <c r="Q29" s="3"/>
      <c r="R29" s="3"/>
      <c r="S29" s="3"/>
      <c r="T29" s="3"/>
      <c r="U29" s="3"/>
      <c r="V29" s="3"/>
      <c r="W29" s="3"/>
    </row>
    <row r="30" spans="1:23" ht="19" customHeight="1">
      <c r="A30" s="2"/>
      <c r="B30" s="2"/>
      <c r="C30" s="2"/>
      <c r="D30" s="3"/>
      <c r="E30" s="3"/>
      <c r="F30" s="3"/>
      <c r="G30" s="3"/>
      <c r="H30" s="3"/>
      <c r="I30" s="3"/>
      <c r="J30" s="3"/>
      <c r="K30" s="3"/>
      <c r="L30" s="3"/>
      <c r="M30" s="3"/>
      <c r="N30" s="3"/>
      <c r="O30" s="3"/>
      <c r="P30" s="3"/>
      <c r="Q30" s="3"/>
      <c r="R30" s="3"/>
      <c r="S30" s="3"/>
      <c r="T30" s="3"/>
      <c r="U30" s="3"/>
      <c r="V30" s="3"/>
      <c r="W30" s="3"/>
    </row>
    <row r="31" spans="1:23" ht="19" customHeight="1">
      <c r="A31" s="2"/>
      <c r="B31" s="2"/>
      <c r="C31" s="2"/>
      <c r="D31" s="3"/>
      <c r="E31" s="3"/>
      <c r="F31" s="3"/>
      <c r="G31" s="3"/>
      <c r="H31" s="3"/>
      <c r="I31" s="3"/>
      <c r="J31" s="3"/>
      <c r="K31" s="3"/>
      <c r="L31" s="3"/>
      <c r="M31" s="3"/>
      <c r="N31" s="3"/>
      <c r="O31" s="3"/>
      <c r="P31" s="3"/>
      <c r="Q31" s="3"/>
      <c r="R31" s="3"/>
      <c r="S31" s="3"/>
      <c r="T31" s="3"/>
      <c r="U31" s="3"/>
      <c r="V31" s="3"/>
      <c r="W31" s="3"/>
    </row>
    <row r="32" spans="1:23" ht="19" customHeight="1">
      <c r="A32" s="2"/>
      <c r="B32" s="2"/>
      <c r="C32" s="2"/>
      <c r="D32" s="3"/>
      <c r="E32" s="3"/>
      <c r="F32" s="3"/>
      <c r="G32" s="3"/>
      <c r="H32" s="3"/>
      <c r="I32" s="3"/>
      <c r="J32" s="3"/>
      <c r="K32" s="3"/>
      <c r="L32" s="3"/>
      <c r="M32" s="3"/>
      <c r="N32" s="3"/>
      <c r="O32" s="3"/>
      <c r="P32" s="3"/>
      <c r="Q32" s="3"/>
      <c r="R32" s="3"/>
      <c r="S32" s="3"/>
      <c r="T32" s="3"/>
      <c r="U32" s="3"/>
      <c r="V32" s="3"/>
      <c r="W32" s="3"/>
    </row>
    <row r="33" spans="1:23" ht="19" customHeight="1">
      <c r="A33" s="2"/>
      <c r="B33" s="2"/>
      <c r="C33" s="2"/>
      <c r="D33" s="3"/>
      <c r="E33" s="3"/>
      <c r="F33" s="3"/>
      <c r="G33" s="3"/>
      <c r="H33" s="3"/>
      <c r="I33" s="3"/>
      <c r="J33" s="3"/>
      <c r="K33" s="3"/>
      <c r="L33" s="3"/>
      <c r="M33" s="3"/>
      <c r="N33" s="3"/>
      <c r="O33" s="3"/>
      <c r="P33" s="3"/>
      <c r="Q33" s="3"/>
      <c r="R33" s="3"/>
      <c r="S33" s="3"/>
      <c r="T33" s="3"/>
      <c r="U33" s="3"/>
      <c r="V33" s="3"/>
      <c r="W33" s="3"/>
    </row>
    <row r="34" spans="1:23" ht="19" customHeight="1">
      <c r="A34" s="2"/>
      <c r="B34" s="2"/>
      <c r="C34" s="2"/>
      <c r="D34" s="3"/>
      <c r="E34" s="3"/>
      <c r="F34" s="3"/>
      <c r="G34" s="3"/>
      <c r="H34" s="3"/>
      <c r="I34" s="3"/>
      <c r="J34" s="3"/>
      <c r="K34" s="3"/>
      <c r="L34" s="3"/>
      <c r="M34" s="3"/>
      <c r="N34" s="3"/>
      <c r="O34" s="3"/>
      <c r="P34" s="3"/>
      <c r="Q34" s="3"/>
      <c r="R34" s="3"/>
      <c r="S34" s="3"/>
      <c r="T34" s="3"/>
      <c r="U34" s="3"/>
      <c r="V34" s="3"/>
      <c r="W34" s="3"/>
    </row>
    <row r="35" spans="1:23" ht="19" customHeight="1">
      <c r="A35" s="2"/>
      <c r="B35" s="2"/>
      <c r="C35" s="2"/>
      <c r="D35" s="3"/>
      <c r="E35" s="3"/>
      <c r="F35" s="3"/>
      <c r="G35" s="3"/>
      <c r="H35" s="3"/>
      <c r="I35" s="3"/>
      <c r="J35" s="3"/>
      <c r="K35" s="3"/>
      <c r="L35" s="3"/>
      <c r="M35" s="3"/>
      <c r="N35" s="3"/>
      <c r="O35" s="3"/>
      <c r="P35" s="3"/>
      <c r="Q35" s="3"/>
      <c r="R35" s="3"/>
      <c r="S35" s="3"/>
      <c r="T35" s="3"/>
      <c r="U35" s="3"/>
      <c r="V35" s="3"/>
      <c r="W35" s="3"/>
    </row>
    <row r="36" spans="1:23" ht="19" customHeight="1">
      <c r="A36" s="2"/>
      <c r="B36" s="2"/>
      <c r="C36" s="2"/>
      <c r="D36" s="3"/>
      <c r="E36" s="3"/>
      <c r="F36" s="3"/>
      <c r="G36" s="3"/>
      <c r="H36" s="3"/>
      <c r="I36" s="3"/>
      <c r="J36" s="3"/>
      <c r="K36" s="3"/>
      <c r="L36" s="3"/>
      <c r="M36" s="3"/>
      <c r="N36" s="3"/>
      <c r="O36" s="3"/>
      <c r="P36" s="3"/>
      <c r="Q36" s="3"/>
      <c r="R36" s="3"/>
      <c r="S36" s="3"/>
      <c r="T36" s="3"/>
      <c r="U36" s="3"/>
      <c r="V36" s="3"/>
      <c r="W36" s="3"/>
    </row>
    <row r="37" spans="1:23" ht="19" customHeight="1">
      <c r="A37" s="2"/>
      <c r="B37" s="2"/>
      <c r="C37" s="2"/>
      <c r="D37" s="3"/>
      <c r="E37" s="3"/>
      <c r="F37" s="3"/>
      <c r="G37" s="3"/>
      <c r="H37" s="3"/>
      <c r="I37" s="3"/>
      <c r="J37" s="3"/>
      <c r="K37" s="3"/>
      <c r="L37" s="3"/>
      <c r="M37" s="3"/>
      <c r="N37" s="3"/>
      <c r="O37" s="3"/>
      <c r="P37" s="3"/>
      <c r="Q37" s="3"/>
      <c r="R37" s="3"/>
      <c r="S37" s="3"/>
      <c r="T37" s="3"/>
      <c r="U37" s="3"/>
      <c r="V37" s="3"/>
      <c r="W37" s="3"/>
    </row>
    <row r="38" spans="1:23" ht="19" customHeight="1">
      <c r="A38" s="2"/>
      <c r="B38" s="2"/>
      <c r="C38" s="2"/>
      <c r="D38" s="3"/>
      <c r="E38" s="3"/>
      <c r="F38" s="3"/>
      <c r="G38" s="3"/>
      <c r="H38" s="3"/>
      <c r="I38" s="3"/>
      <c r="J38" s="3"/>
      <c r="K38" s="3"/>
      <c r="L38" s="3"/>
      <c r="M38" s="3"/>
      <c r="N38" s="3"/>
      <c r="O38" s="3"/>
      <c r="P38" s="3"/>
      <c r="Q38" s="3"/>
      <c r="R38" s="3"/>
      <c r="S38" s="3"/>
      <c r="T38" s="3"/>
      <c r="U38" s="3"/>
      <c r="V38" s="3"/>
      <c r="W38" s="3"/>
    </row>
    <row r="39" spans="1:23" ht="19" customHeight="1">
      <c r="A39" s="2"/>
      <c r="B39" s="2"/>
      <c r="C39" s="2"/>
      <c r="D39" s="3"/>
      <c r="E39" s="3"/>
      <c r="F39" s="3"/>
      <c r="G39" s="3"/>
      <c r="H39" s="3"/>
      <c r="I39" s="3"/>
      <c r="J39" s="3"/>
      <c r="K39" s="3"/>
      <c r="L39" s="3"/>
      <c r="M39" s="3"/>
      <c r="N39" s="3"/>
      <c r="O39" s="3"/>
      <c r="P39" s="3"/>
      <c r="Q39" s="3"/>
      <c r="R39" s="3"/>
      <c r="S39" s="3"/>
      <c r="T39" s="3"/>
      <c r="U39" s="3"/>
      <c r="V39" s="3"/>
      <c r="W39" s="3"/>
    </row>
    <row r="40" spans="1:23" ht="19" customHeight="1">
      <c r="A40" s="2"/>
      <c r="B40" s="2"/>
      <c r="C40" s="2"/>
      <c r="D40" s="3"/>
      <c r="E40" s="3"/>
      <c r="F40" s="3"/>
      <c r="G40" s="3"/>
      <c r="H40" s="3"/>
      <c r="I40" s="3"/>
      <c r="J40" s="3"/>
      <c r="K40" s="3"/>
      <c r="L40" s="3"/>
      <c r="M40" s="3"/>
      <c r="N40" s="3"/>
      <c r="O40" s="3"/>
      <c r="P40" s="3"/>
      <c r="Q40" s="3"/>
      <c r="R40" s="3"/>
      <c r="S40" s="3"/>
      <c r="T40" s="3"/>
      <c r="U40" s="3"/>
      <c r="V40" s="3"/>
      <c r="W40" s="3"/>
    </row>
    <row r="41" spans="1:23" ht="19" customHeight="1">
      <c r="A41" s="2"/>
      <c r="B41" s="2"/>
      <c r="C41" s="2"/>
      <c r="D41" s="3"/>
      <c r="E41" s="3"/>
      <c r="F41" s="3"/>
      <c r="G41" s="3"/>
      <c r="H41" s="3"/>
      <c r="I41" s="3"/>
      <c r="J41" s="3"/>
      <c r="K41" s="3"/>
      <c r="L41" s="3"/>
      <c r="M41" s="3"/>
      <c r="N41" s="3"/>
      <c r="O41" s="3"/>
      <c r="P41" s="3"/>
      <c r="Q41" s="3"/>
      <c r="R41" s="3"/>
      <c r="S41" s="3"/>
      <c r="T41" s="3"/>
      <c r="U41" s="3"/>
      <c r="V41" s="3"/>
      <c r="W41" s="3"/>
    </row>
    <row r="42" spans="1:23" ht="19" customHeight="1">
      <c r="A42" s="2"/>
      <c r="B42" s="2"/>
      <c r="C42" s="2"/>
      <c r="D42" s="3"/>
      <c r="E42" s="3"/>
      <c r="F42" s="3"/>
      <c r="G42" s="3"/>
      <c r="H42" s="3"/>
      <c r="I42" s="3"/>
      <c r="J42" s="3"/>
      <c r="K42" s="3"/>
      <c r="L42" s="3"/>
      <c r="M42" s="3"/>
      <c r="N42" s="3"/>
      <c r="O42" s="3"/>
      <c r="P42" s="3"/>
      <c r="Q42" s="3"/>
      <c r="R42" s="3"/>
      <c r="S42" s="3"/>
      <c r="T42" s="3"/>
      <c r="U42" s="3"/>
      <c r="V42" s="3"/>
      <c r="W42" s="3"/>
    </row>
    <row r="43" spans="1:23" ht="19" customHeight="1">
      <c r="A43" s="2"/>
      <c r="B43" s="2"/>
      <c r="C43" s="2"/>
      <c r="D43" s="3"/>
      <c r="E43" s="3"/>
      <c r="F43" s="3"/>
      <c r="G43" s="3"/>
      <c r="H43" s="3"/>
      <c r="I43" s="3"/>
      <c r="J43" s="3"/>
      <c r="K43" s="3"/>
      <c r="L43" s="3"/>
      <c r="M43" s="3"/>
      <c r="N43" s="3"/>
      <c r="O43" s="3"/>
      <c r="P43" s="3"/>
      <c r="Q43" s="3"/>
      <c r="R43" s="3"/>
      <c r="S43" s="3"/>
      <c r="T43" s="3"/>
      <c r="U43" s="3"/>
      <c r="V43" s="3"/>
      <c r="W43" s="3"/>
    </row>
    <row r="44" spans="1:23" ht="19" customHeight="1">
      <c r="A44" s="2"/>
      <c r="B44" s="2"/>
      <c r="C44" s="2"/>
      <c r="D44" s="3"/>
      <c r="E44" s="3"/>
      <c r="F44" s="3"/>
      <c r="G44" s="3"/>
      <c r="H44" s="3"/>
      <c r="I44" s="3"/>
      <c r="J44" s="3"/>
      <c r="K44" s="3"/>
      <c r="L44" s="3"/>
      <c r="M44" s="3"/>
      <c r="N44" s="3"/>
      <c r="O44" s="3"/>
      <c r="P44" s="3"/>
      <c r="Q44" s="3"/>
      <c r="R44" s="3"/>
      <c r="S44" s="3"/>
      <c r="T44" s="3"/>
      <c r="U44" s="3"/>
      <c r="V44" s="3"/>
      <c r="W44" s="3"/>
    </row>
    <row r="45" spans="1:23" ht="19" customHeight="1">
      <c r="A45" s="2"/>
      <c r="B45" s="2"/>
      <c r="C45" s="2"/>
      <c r="D45" s="3"/>
      <c r="E45" s="3"/>
      <c r="F45" s="3"/>
      <c r="G45" s="3"/>
      <c r="H45" s="3"/>
      <c r="I45" s="3"/>
      <c r="J45" s="3"/>
      <c r="K45" s="3"/>
      <c r="L45" s="3"/>
      <c r="M45" s="3"/>
      <c r="N45" s="3"/>
      <c r="O45" s="3"/>
      <c r="P45" s="3"/>
      <c r="Q45" s="3"/>
      <c r="R45" s="3"/>
      <c r="S45" s="3"/>
      <c r="T45" s="3"/>
      <c r="U45" s="3"/>
      <c r="V45" s="3"/>
      <c r="W45" s="3"/>
    </row>
    <row r="46" spans="1:23" ht="19" customHeight="1">
      <c r="A46" s="2"/>
      <c r="B46" s="2"/>
      <c r="C46" s="2"/>
      <c r="D46" s="3"/>
      <c r="E46" s="3"/>
      <c r="F46" s="3"/>
      <c r="G46" s="3"/>
      <c r="H46" s="3"/>
      <c r="I46" s="3"/>
      <c r="J46" s="3"/>
      <c r="K46" s="3"/>
      <c r="L46" s="3"/>
      <c r="M46" s="3"/>
      <c r="N46" s="3"/>
      <c r="O46" s="3"/>
      <c r="P46" s="3"/>
      <c r="Q46" s="3"/>
      <c r="R46" s="3"/>
      <c r="S46" s="3"/>
      <c r="T46" s="3"/>
      <c r="U46" s="3"/>
      <c r="V46" s="3"/>
      <c r="W46" s="3"/>
    </row>
    <row r="47" spans="1:23" ht="19" customHeight="1">
      <c r="A47" s="2"/>
      <c r="B47" s="2"/>
      <c r="C47" s="2"/>
      <c r="D47" s="3"/>
      <c r="E47" s="3"/>
      <c r="F47" s="3"/>
      <c r="G47" s="3"/>
      <c r="H47" s="3"/>
      <c r="I47" s="3"/>
      <c r="J47" s="3"/>
      <c r="K47" s="3"/>
      <c r="L47" s="3"/>
      <c r="M47" s="3"/>
      <c r="N47" s="3"/>
      <c r="O47" s="3"/>
      <c r="P47" s="3"/>
      <c r="Q47" s="3"/>
      <c r="R47" s="3"/>
      <c r="S47" s="3"/>
      <c r="T47" s="3"/>
      <c r="U47" s="3"/>
      <c r="V47" s="3"/>
      <c r="W47" s="3"/>
    </row>
    <row r="48" spans="1:23" ht="19" customHeight="1">
      <c r="A48" s="2"/>
      <c r="B48" s="2"/>
      <c r="C48" s="2"/>
      <c r="D48" s="3"/>
      <c r="E48" s="3"/>
      <c r="F48" s="3"/>
      <c r="G48" s="3"/>
      <c r="H48" s="3"/>
      <c r="I48" s="3"/>
      <c r="J48" s="3"/>
      <c r="K48" s="3"/>
      <c r="L48" s="3"/>
      <c r="M48" s="3"/>
      <c r="N48" s="3"/>
      <c r="O48" s="3"/>
      <c r="P48" s="3"/>
      <c r="Q48" s="3"/>
      <c r="R48" s="3"/>
      <c r="S48" s="3"/>
      <c r="T48" s="3"/>
      <c r="U48" s="3"/>
      <c r="V48" s="3"/>
      <c r="W48" s="3"/>
    </row>
    <row r="49" spans="1:23" ht="19" customHeight="1">
      <c r="A49" s="2"/>
      <c r="B49" s="2"/>
      <c r="C49" s="2"/>
      <c r="D49" s="3"/>
      <c r="E49" s="3"/>
      <c r="F49" s="3"/>
      <c r="G49" s="3"/>
      <c r="H49" s="3"/>
      <c r="I49" s="3"/>
      <c r="J49" s="3"/>
      <c r="K49" s="3"/>
      <c r="L49" s="3"/>
      <c r="M49" s="3"/>
      <c r="N49" s="3"/>
      <c r="O49" s="3"/>
      <c r="P49" s="3"/>
      <c r="Q49" s="3"/>
      <c r="R49" s="3"/>
      <c r="S49" s="3"/>
      <c r="T49" s="3"/>
      <c r="U49" s="3"/>
      <c r="V49" s="3"/>
      <c r="W49" s="3"/>
    </row>
    <row r="50" spans="1:23" ht="19" customHeight="1">
      <c r="A50" s="2"/>
      <c r="B50" s="2"/>
      <c r="C50" s="2"/>
      <c r="D50" s="3"/>
      <c r="E50" s="3"/>
      <c r="F50" s="3"/>
      <c r="G50" s="3"/>
      <c r="H50" s="3"/>
      <c r="I50" s="3"/>
      <c r="J50" s="3"/>
      <c r="K50" s="3"/>
      <c r="L50" s="3"/>
      <c r="M50" s="3"/>
      <c r="N50" s="3"/>
      <c r="O50" s="3"/>
      <c r="P50" s="3"/>
      <c r="Q50" s="3"/>
      <c r="R50" s="3"/>
      <c r="S50" s="3"/>
      <c r="T50" s="3"/>
      <c r="U50" s="3"/>
      <c r="V50" s="3"/>
      <c r="W50" s="3"/>
    </row>
    <row r="51" spans="1:23" ht="19" customHeight="1">
      <c r="A51" s="2"/>
      <c r="B51" s="2"/>
      <c r="C51" s="2"/>
      <c r="D51" s="3"/>
      <c r="E51" s="3"/>
      <c r="F51" s="3"/>
      <c r="G51" s="3"/>
      <c r="H51" s="3"/>
      <c r="I51" s="3"/>
      <c r="J51" s="3"/>
      <c r="K51" s="3"/>
      <c r="L51" s="3"/>
      <c r="M51" s="3"/>
      <c r="N51" s="3"/>
      <c r="O51" s="3"/>
      <c r="P51" s="3"/>
      <c r="Q51" s="3"/>
      <c r="R51" s="3"/>
      <c r="S51" s="3"/>
      <c r="T51" s="3"/>
      <c r="U51" s="3"/>
      <c r="V51" s="3"/>
      <c r="W51" s="3"/>
    </row>
    <row r="52" spans="1:23" ht="19" customHeight="1">
      <c r="A52" s="2"/>
      <c r="B52" s="2"/>
      <c r="C52" s="2"/>
      <c r="D52" s="3"/>
      <c r="E52" s="3"/>
      <c r="F52" s="3"/>
      <c r="G52" s="3"/>
      <c r="H52" s="3"/>
      <c r="I52" s="3"/>
      <c r="J52" s="3"/>
      <c r="K52" s="3"/>
      <c r="L52" s="3"/>
      <c r="M52" s="3"/>
      <c r="N52" s="3"/>
      <c r="O52" s="3"/>
      <c r="P52" s="3"/>
      <c r="Q52" s="3"/>
      <c r="R52" s="3"/>
      <c r="S52" s="3"/>
      <c r="T52" s="3"/>
      <c r="U52" s="3"/>
      <c r="V52" s="3"/>
      <c r="W52" s="3"/>
    </row>
    <row r="53" spans="1:23" ht="19" customHeight="1">
      <c r="A53" s="2"/>
      <c r="B53" s="2"/>
      <c r="C53" s="2"/>
      <c r="D53" s="3"/>
      <c r="E53" s="3"/>
      <c r="F53" s="3"/>
      <c r="G53" s="3"/>
      <c r="H53" s="3"/>
      <c r="I53" s="3"/>
      <c r="J53" s="3"/>
      <c r="K53" s="3"/>
      <c r="L53" s="3"/>
      <c r="M53" s="3"/>
      <c r="N53" s="3"/>
      <c r="O53" s="3"/>
      <c r="P53" s="3"/>
      <c r="Q53" s="3"/>
      <c r="R53" s="3"/>
      <c r="S53" s="3"/>
      <c r="T53" s="3"/>
      <c r="U53" s="3"/>
      <c r="V53" s="3"/>
      <c r="W53" s="3"/>
    </row>
    <row r="54" spans="1:23" ht="19" customHeight="1">
      <c r="A54" s="2"/>
      <c r="B54" s="2"/>
      <c r="C54" s="2"/>
      <c r="D54" s="3"/>
      <c r="E54" s="3"/>
      <c r="F54" s="3"/>
      <c r="G54" s="3"/>
      <c r="H54" s="3"/>
      <c r="I54" s="3"/>
      <c r="J54" s="3"/>
      <c r="K54" s="3"/>
      <c r="L54" s="3"/>
      <c r="M54" s="3"/>
      <c r="N54" s="3"/>
      <c r="O54" s="3"/>
      <c r="P54" s="3"/>
      <c r="Q54" s="3"/>
      <c r="R54" s="3"/>
      <c r="S54" s="3"/>
      <c r="T54" s="3"/>
      <c r="U54" s="3"/>
      <c r="V54" s="3"/>
      <c r="W54" s="3"/>
    </row>
    <row r="55" spans="1:23" ht="19" customHeight="1">
      <c r="A55" s="2"/>
      <c r="B55" s="2"/>
      <c r="C55" s="2"/>
      <c r="D55" s="3"/>
      <c r="E55" s="3"/>
      <c r="F55" s="3"/>
      <c r="G55" s="3"/>
      <c r="H55" s="3"/>
      <c r="I55" s="3"/>
      <c r="J55" s="3"/>
      <c r="K55" s="3"/>
      <c r="L55" s="3"/>
      <c r="M55" s="3"/>
      <c r="N55" s="3"/>
      <c r="O55" s="3"/>
      <c r="P55" s="3"/>
      <c r="Q55" s="3"/>
      <c r="R55" s="3"/>
      <c r="S55" s="3"/>
      <c r="T55" s="3"/>
      <c r="U55" s="3"/>
      <c r="V55" s="3"/>
      <c r="W55" s="3"/>
    </row>
    <row r="56" spans="1:23" ht="19" customHeight="1">
      <c r="A56" s="2"/>
      <c r="B56" s="2"/>
      <c r="C56" s="2"/>
      <c r="D56" s="3"/>
      <c r="E56" s="3"/>
      <c r="F56" s="3"/>
      <c r="G56" s="3"/>
      <c r="H56" s="3"/>
      <c r="I56" s="3"/>
      <c r="J56" s="3"/>
      <c r="K56" s="3"/>
      <c r="L56" s="3"/>
      <c r="M56" s="3"/>
      <c r="N56" s="3"/>
      <c r="O56" s="3"/>
      <c r="P56" s="3"/>
      <c r="Q56" s="3"/>
      <c r="R56" s="3"/>
      <c r="S56" s="3"/>
      <c r="T56" s="3"/>
      <c r="U56" s="3"/>
      <c r="V56" s="3"/>
      <c r="W56" s="3"/>
    </row>
    <row r="57" spans="1:23" ht="19" customHeight="1">
      <c r="A57" s="2"/>
      <c r="B57" s="2"/>
      <c r="C57" s="2"/>
      <c r="D57" s="3"/>
      <c r="E57" s="3"/>
      <c r="F57" s="3"/>
      <c r="G57" s="3"/>
      <c r="H57" s="3"/>
      <c r="I57" s="3"/>
      <c r="J57" s="3"/>
      <c r="K57" s="3"/>
      <c r="L57" s="3"/>
      <c r="M57" s="3"/>
      <c r="N57" s="3"/>
      <c r="O57" s="3"/>
      <c r="P57" s="3"/>
      <c r="Q57" s="3"/>
      <c r="R57" s="3"/>
      <c r="S57" s="3"/>
      <c r="T57" s="3"/>
      <c r="U57" s="3"/>
      <c r="V57" s="3"/>
      <c r="W57" s="3"/>
    </row>
    <row r="58" spans="1:23" ht="19" customHeight="1">
      <c r="A58" s="2"/>
      <c r="B58" s="2"/>
      <c r="C58" s="2"/>
      <c r="D58" s="3"/>
      <c r="E58" s="3"/>
      <c r="F58" s="3"/>
      <c r="G58" s="3"/>
      <c r="H58" s="3"/>
      <c r="I58" s="3"/>
      <c r="J58" s="3"/>
      <c r="K58" s="3"/>
      <c r="L58" s="3"/>
      <c r="M58" s="3"/>
      <c r="N58" s="3"/>
      <c r="O58" s="3"/>
      <c r="P58" s="3"/>
      <c r="Q58" s="3"/>
      <c r="R58" s="3"/>
      <c r="S58" s="3"/>
      <c r="T58" s="3"/>
      <c r="U58" s="3"/>
      <c r="V58" s="3"/>
      <c r="W58" s="3"/>
    </row>
    <row r="59" spans="1:23" ht="19" customHeight="1">
      <c r="A59" s="2"/>
      <c r="B59" s="2"/>
      <c r="C59" s="2"/>
      <c r="D59" s="3"/>
      <c r="E59" s="3"/>
      <c r="F59" s="3"/>
      <c r="G59" s="3"/>
      <c r="H59" s="3"/>
      <c r="I59" s="3"/>
      <c r="J59" s="3"/>
      <c r="K59" s="3"/>
      <c r="L59" s="3"/>
      <c r="M59" s="3"/>
      <c r="N59" s="3"/>
      <c r="O59" s="3"/>
      <c r="P59" s="3"/>
      <c r="Q59" s="3"/>
      <c r="R59" s="3"/>
      <c r="S59" s="3"/>
      <c r="T59" s="3"/>
      <c r="U59" s="3"/>
      <c r="V59" s="3"/>
      <c r="W59" s="3"/>
    </row>
    <row r="60" spans="1:23" ht="19" customHeight="1">
      <c r="A60" s="2"/>
      <c r="B60" s="2"/>
      <c r="C60" s="2"/>
      <c r="D60" s="3"/>
      <c r="E60" s="3"/>
      <c r="F60" s="3"/>
      <c r="G60" s="3"/>
      <c r="H60" s="3"/>
      <c r="I60" s="3"/>
      <c r="J60" s="3"/>
      <c r="K60" s="3"/>
      <c r="L60" s="3"/>
      <c r="M60" s="3"/>
      <c r="N60" s="3"/>
      <c r="O60" s="3"/>
      <c r="P60" s="3"/>
      <c r="Q60" s="3"/>
      <c r="R60" s="3"/>
      <c r="S60" s="3"/>
      <c r="T60" s="3"/>
      <c r="U60" s="3"/>
      <c r="V60" s="3"/>
      <c r="W60" s="3"/>
    </row>
    <row r="61" spans="1:23" ht="19" customHeight="1">
      <c r="A61" s="2"/>
      <c r="B61" s="2"/>
      <c r="C61" s="2"/>
      <c r="D61" s="3"/>
      <c r="E61" s="3"/>
      <c r="F61" s="3"/>
      <c r="G61" s="3"/>
      <c r="H61" s="3"/>
      <c r="I61" s="3"/>
      <c r="J61" s="3"/>
      <c r="K61" s="3"/>
      <c r="L61" s="3"/>
      <c r="M61" s="3"/>
      <c r="N61" s="3"/>
      <c r="O61" s="3"/>
      <c r="P61" s="3"/>
      <c r="Q61" s="3"/>
      <c r="R61" s="3"/>
      <c r="S61" s="3"/>
      <c r="T61" s="3"/>
      <c r="U61" s="3"/>
      <c r="V61" s="3"/>
      <c r="W61" s="3"/>
    </row>
    <row r="62" spans="1:23" ht="19" customHeight="1">
      <c r="A62" s="2"/>
      <c r="B62" s="2"/>
      <c r="C62" s="2"/>
      <c r="D62" s="3"/>
      <c r="E62" s="3"/>
      <c r="F62" s="3"/>
      <c r="G62" s="3"/>
      <c r="H62" s="3"/>
      <c r="I62" s="3"/>
      <c r="J62" s="3"/>
      <c r="K62" s="3"/>
      <c r="L62" s="3"/>
      <c r="M62" s="3"/>
      <c r="N62" s="3"/>
      <c r="O62" s="3"/>
      <c r="P62" s="3"/>
      <c r="Q62" s="3"/>
      <c r="R62" s="3"/>
      <c r="S62" s="3"/>
      <c r="T62" s="3"/>
      <c r="U62" s="3"/>
      <c r="V62" s="3"/>
      <c r="W62" s="3"/>
    </row>
    <row r="63" spans="1:23" ht="19" customHeight="1">
      <c r="A63" s="2"/>
      <c r="B63" s="2"/>
      <c r="C63" s="2"/>
      <c r="D63" s="3"/>
      <c r="E63" s="3"/>
      <c r="F63" s="3"/>
      <c r="G63" s="3"/>
      <c r="H63" s="3"/>
      <c r="I63" s="3"/>
      <c r="J63" s="3"/>
      <c r="K63" s="3"/>
      <c r="L63" s="3"/>
      <c r="M63" s="3"/>
      <c r="N63" s="3"/>
      <c r="O63" s="3"/>
      <c r="P63" s="3"/>
      <c r="Q63" s="3"/>
      <c r="R63" s="3"/>
      <c r="S63" s="3"/>
      <c r="T63" s="3"/>
      <c r="U63" s="3"/>
      <c r="V63" s="3"/>
      <c r="W63" s="3"/>
    </row>
    <row r="64" spans="1:23" ht="19" customHeight="1">
      <c r="A64" s="2"/>
      <c r="B64" s="2"/>
      <c r="C64" s="2"/>
      <c r="D64" s="3"/>
      <c r="E64" s="3"/>
      <c r="F64" s="3"/>
      <c r="G64" s="3"/>
      <c r="H64" s="3"/>
      <c r="I64" s="3"/>
      <c r="J64" s="3"/>
      <c r="K64" s="3"/>
      <c r="L64" s="3"/>
      <c r="M64" s="3"/>
      <c r="N64" s="3"/>
      <c r="O64" s="3"/>
      <c r="P64" s="3"/>
      <c r="Q64" s="3"/>
      <c r="R64" s="3"/>
      <c r="S64" s="3"/>
      <c r="T64" s="3"/>
      <c r="U64" s="3"/>
      <c r="V64" s="3"/>
      <c r="W64" s="3"/>
    </row>
    <row r="65" spans="1:23" ht="19" customHeight="1">
      <c r="A65" s="2"/>
      <c r="B65" s="2"/>
      <c r="C65" s="2"/>
      <c r="D65" s="3"/>
      <c r="E65" s="3"/>
      <c r="F65" s="3"/>
      <c r="G65" s="3"/>
      <c r="H65" s="3"/>
      <c r="I65" s="3"/>
      <c r="J65" s="3"/>
      <c r="K65" s="3"/>
      <c r="L65" s="3"/>
      <c r="M65" s="3"/>
      <c r="N65" s="3"/>
      <c r="O65" s="3"/>
      <c r="P65" s="3"/>
      <c r="Q65" s="3"/>
      <c r="R65" s="3"/>
      <c r="S65" s="3"/>
      <c r="T65" s="3"/>
      <c r="U65" s="3"/>
      <c r="V65" s="3"/>
      <c r="W65" s="3"/>
    </row>
    <row r="66" spans="1:23" ht="19" customHeight="1">
      <c r="A66" s="2"/>
      <c r="B66" s="2"/>
      <c r="C66" s="2"/>
      <c r="D66" s="3"/>
      <c r="E66" s="3"/>
      <c r="F66" s="3"/>
      <c r="G66" s="3"/>
      <c r="H66" s="3"/>
      <c r="I66" s="3"/>
      <c r="J66" s="3"/>
      <c r="K66" s="3"/>
      <c r="L66" s="3"/>
      <c r="M66" s="3"/>
      <c r="N66" s="3"/>
      <c r="O66" s="3"/>
      <c r="P66" s="3"/>
      <c r="Q66" s="3"/>
      <c r="R66" s="3"/>
      <c r="S66" s="3"/>
      <c r="T66" s="3"/>
      <c r="U66" s="3"/>
      <c r="V66" s="3"/>
      <c r="W66" s="3"/>
    </row>
    <row r="67" spans="1:23" ht="19" customHeight="1">
      <c r="A67" s="2"/>
      <c r="B67" s="2"/>
      <c r="C67" s="2"/>
      <c r="D67" s="3"/>
      <c r="E67" s="3"/>
      <c r="F67" s="3"/>
      <c r="G67" s="3"/>
      <c r="H67" s="3"/>
      <c r="I67" s="3"/>
      <c r="J67" s="3"/>
      <c r="K67" s="3"/>
      <c r="L67" s="3"/>
      <c r="M67" s="3"/>
      <c r="N67" s="3"/>
      <c r="O67" s="3"/>
      <c r="P67" s="3"/>
      <c r="Q67" s="3"/>
      <c r="R67" s="3"/>
      <c r="S67" s="3"/>
      <c r="T67" s="3"/>
      <c r="U67" s="3"/>
      <c r="V67" s="3"/>
      <c r="W67" s="3"/>
    </row>
    <row r="68" spans="1:23" ht="19" customHeight="1">
      <c r="A68" s="2"/>
      <c r="B68" s="2"/>
      <c r="C68" s="2"/>
      <c r="D68" s="3"/>
      <c r="E68" s="3"/>
      <c r="F68" s="3"/>
      <c r="G68" s="3"/>
      <c r="H68" s="3"/>
      <c r="I68" s="3"/>
      <c r="J68" s="3"/>
      <c r="K68" s="3"/>
      <c r="L68" s="3"/>
      <c r="M68" s="3"/>
      <c r="N68" s="3"/>
      <c r="O68" s="3"/>
      <c r="P68" s="3"/>
      <c r="Q68" s="3"/>
      <c r="R68" s="3"/>
      <c r="S68" s="3"/>
      <c r="T68" s="3"/>
      <c r="U68" s="3"/>
      <c r="V68" s="3"/>
      <c r="W68" s="3"/>
    </row>
    <row r="69" spans="1:23" ht="19" customHeight="1">
      <c r="A69" s="2"/>
      <c r="B69" s="2"/>
      <c r="C69" s="2"/>
      <c r="D69" s="3"/>
      <c r="E69" s="3"/>
      <c r="F69" s="3"/>
      <c r="G69" s="3"/>
      <c r="H69" s="3"/>
      <c r="I69" s="3"/>
      <c r="J69" s="3"/>
      <c r="K69" s="3"/>
      <c r="L69" s="3"/>
      <c r="M69" s="3"/>
      <c r="N69" s="3"/>
      <c r="O69" s="3"/>
      <c r="P69" s="3"/>
      <c r="Q69" s="3"/>
      <c r="R69" s="3"/>
      <c r="S69" s="3"/>
      <c r="T69" s="3"/>
      <c r="U69" s="3"/>
      <c r="V69" s="3"/>
      <c r="W69" s="3"/>
    </row>
    <row r="70" spans="1:23" ht="19" customHeight="1">
      <c r="A70" s="2"/>
      <c r="B70" s="2"/>
      <c r="C70" s="2"/>
      <c r="D70" s="3"/>
      <c r="E70" s="3"/>
      <c r="F70" s="3"/>
      <c r="G70" s="3"/>
      <c r="H70" s="3"/>
      <c r="I70" s="3"/>
      <c r="J70" s="3"/>
      <c r="K70" s="3"/>
      <c r="L70" s="3"/>
      <c r="M70" s="3"/>
      <c r="N70" s="3"/>
      <c r="O70" s="3"/>
      <c r="P70" s="3"/>
      <c r="Q70" s="3"/>
      <c r="R70" s="3"/>
      <c r="S70" s="3"/>
      <c r="T70" s="3"/>
      <c r="U70" s="3"/>
      <c r="V70" s="3"/>
      <c r="W70" s="3"/>
    </row>
    <row r="71" spans="1:23" ht="19" customHeight="1">
      <c r="A71" s="2"/>
      <c r="B71" s="2"/>
      <c r="C71" s="2"/>
      <c r="D71" s="3"/>
      <c r="E71" s="3"/>
      <c r="F71" s="3"/>
      <c r="G71" s="3"/>
      <c r="H71" s="3"/>
      <c r="I71" s="3"/>
      <c r="J71" s="3"/>
      <c r="K71" s="3"/>
      <c r="L71" s="3"/>
      <c r="M71" s="3"/>
      <c r="N71" s="3"/>
      <c r="O71" s="3"/>
      <c r="P71" s="3"/>
      <c r="Q71" s="3"/>
      <c r="R71" s="3"/>
      <c r="S71" s="3"/>
      <c r="T71" s="3"/>
      <c r="U71" s="3"/>
      <c r="V71" s="3"/>
      <c r="W71" s="3"/>
    </row>
    <row r="72" spans="1:23" ht="19" customHeight="1">
      <c r="A72" s="2"/>
      <c r="B72" s="2"/>
      <c r="C72" s="2"/>
      <c r="D72" s="3"/>
      <c r="E72" s="3"/>
      <c r="F72" s="3"/>
      <c r="G72" s="3"/>
      <c r="H72" s="3"/>
      <c r="I72" s="3"/>
      <c r="J72" s="3"/>
      <c r="K72" s="3"/>
      <c r="L72" s="3"/>
      <c r="M72" s="3"/>
      <c r="N72" s="3"/>
      <c r="O72" s="3"/>
      <c r="P72" s="3"/>
      <c r="Q72" s="3"/>
      <c r="R72" s="3"/>
      <c r="S72" s="3"/>
      <c r="T72" s="3"/>
      <c r="U72" s="3"/>
      <c r="V72" s="3"/>
      <c r="W72" s="3"/>
    </row>
    <row r="73" spans="1:23" ht="19" customHeight="1">
      <c r="A73" s="2"/>
      <c r="B73" s="2"/>
      <c r="C73" s="2"/>
      <c r="D73" s="3"/>
      <c r="E73" s="3"/>
      <c r="F73" s="3"/>
      <c r="G73" s="3"/>
      <c r="H73" s="3"/>
      <c r="I73" s="3"/>
      <c r="J73" s="3"/>
      <c r="K73" s="3"/>
      <c r="L73" s="3"/>
      <c r="M73" s="3"/>
      <c r="N73" s="3"/>
      <c r="O73" s="3"/>
      <c r="P73" s="3"/>
      <c r="Q73" s="3"/>
      <c r="R73" s="3"/>
      <c r="S73" s="3"/>
      <c r="T73" s="3"/>
      <c r="U73" s="3"/>
      <c r="V73" s="3"/>
      <c r="W73" s="3"/>
    </row>
    <row r="74" spans="1:23" ht="19" customHeight="1">
      <c r="A74" s="2"/>
      <c r="B74" s="2"/>
      <c r="C74" s="2"/>
      <c r="D74" s="3"/>
      <c r="E74" s="3"/>
      <c r="F74" s="3"/>
      <c r="G74" s="3"/>
      <c r="H74" s="3"/>
      <c r="I74" s="3"/>
      <c r="J74" s="3"/>
      <c r="K74" s="3"/>
      <c r="L74" s="3"/>
      <c r="M74" s="3"/>
      <c r="N74" s="3"/>
      <c r="O74" s="3"/>
      <c r="P74" s="3"/>
      <c r="Q74" s="3"/>
      <c r="R74" s="3"/>
      <c r="S74" s="3"/>
      <c r="T74" s="3"/>
      <c r="U74" s="3"/>
      <c r="V74" s="3"/>
      <c r="W74" s="3"/>
    </row>
    <row r="75" spans="1:23" ht="19" customHeight="1">
      <c r="A75" s="2"/>
      <c r="B75" s="2"/>
      <c r="C75" s="2"/>
      <c r="D75" s="3"/>
      <c r="E75" s="3"/>
      <c r="F75" s="3"/>
      <c r="G75" s="3"/>
      <c r="H75" s="3"/>
      <c r="I75" s="3"/>
      <c r="J75" s="3"/>
      <c r="K75" s="3"/>
      <c r="L75" s="3"/>
      <c r="M75" s="3"/>
      <c r="N75" s="3"/>
      <c r="O75" s="3"/>
      <c r="P75" s="3"/>
      <c r="Q75" s="3"/>
      <c r="R75" s="3"/>
      <c r="S75" s="3"/>
      <c r="T75" s="3"/>
      <c r="U75" s="3"/>
      <c r="V75" s="3"/>
      <c r="W75" s="3"/>
    </row>
    <row r="76" spans="1:23" ht="19" customHeight="1">
      <c r="A76" s="2"/>
      <c r="B76" s="2"/>
      <c r="C76" s="2"/>
      <c r="D76" s="3"/>
      <c r="E76" s="3"/>
      <c r="F76" s="3"/>
      <c r="G76" s="3"/>
      <c r="H76" s="3"/>
      <c r="I76" s="3"/>
      <c r="J76" s="3"/>
      <c r="K76" s="3"/>
      <c r="L76" s="3"/>
      <c r="M76" s="3"/>
      <c r="N76" s="3"/>
      <c r="O76" s="3"/>
      <c r="P76" s="3"/>
      <c r="Q76" s="3"/>
      <c r="R76" s="3"/>
      <c r="S76" s="3"/>
      <c r="T76" s="3"/>
      <c r="U76" s="3"/>
      <c r="V76" s="3"/>
      <c r="W76" s="3"/>
    </row>
    <row r="77" spans="1:23" ht="19" customHeight="1">
      <c r="A77" s="2"/>
      <c r="B77" s="2"/>
      <c r="C77" s="2"/>
      <c r="D77" s="3"/>
      <c r="E77" s="3"/>
      <c r="F77" s="3"/>
      <c r="G77" s="3"/>
      <c r="H77" s="3"/>
      <c r="I77" s="3"/>
      <c r="J77" s="3"/>
      <c r="K77" s="3"/>
      <c r="L77" s="3"/>
      <c r="M77" s="3"/>
      <c r="N77" s="3"/>
      <c r="O77" s="3"/>
      <c r="P77" s="3"/>
      <c r="Q77" s="3"/>
      <c r="R77" s="3"/>
      <c r="S77" s="3"/>
      <c r="T77" s="3"/>
      <c r="U77" s="3"/>
      <c r="V77" s="3"/>
      <c r="W77" s="3"/>
    </row>
    <row r="78" spans="1:23" ht="19" customHeight="1">
      <c r="A78" s="2"/>
      <c r="B78" s="2"/>
      <c r="C78" s="2"/>
      <c r="D78" s="3"/>
      <c r="E78" s="3"/>
      <c r="F78" s="3"/>
      <c r="G78" s="3"/>
      <c r="H78" s="3"/>
      <c r="I78" s="3"/>
      <c r="J78" s="3"/>
      <c r="K78" s="3"/>
      <c r="L78" s="3"/>
      <c r="M78" s="3"/>
      <c r="N78" s="3"/>
      <c r="O78" s="3"/>
      <c r="P78" s="3"/>
      <c r="Q78" s="3"/>
      <c r="R78" s="3"/>
      <c r="S78" s="3"/>
      <c r="T78" s="3"/>
      <c r="U78" s="3"/>
      <c r="V78" s="3"/>
      <c r="W78" s="3"/>
    </row>
    <row r="79" spans="1:23" ht="19" customHeight="1">
      <c r="A79" s="2"/>
      <c r="B79" s="2"/>
      <c r="C79" s="2"/>
      <c r="D79" s="3"/>
      <c r="E79" s="3"/>
      <c r="F79" s="3"/>
      <c r="G79" s="3"/>
      <c r="H79" s="3"/>
      <c r="I79" s="3"/>
      <c r="J79" s="3"/>
      <c r="K79" s="3"/>
      <c r="L79" s="3"/>
      <c r="M79" s="3"/>
      <c r="N79" s="3"/>
      <c r="O79" s="3"/>
      <c r="P79" s="3"/>
      <c r="Q79" s="3"/>
      <c r="R79" s="3"/>
      <c r="S79" s="3"/>
      <c r="T79" s="3"/>
      <c r="U79" s="3"/>
      <c r="V79" s="3"/>
      <c r="W79" s="3"/>
    </row>
    <row r="80" spans="1:23" ht="19" customHeight="1">
      <c r="A80" s="2"/>
      <c r="B80" s="2"/>
      <c r="C80" s="2"/>
      <c r="D80" s="3"/>
      <c r="E80" s="3"/>
      <c r="F80" s="3"/>
      <c r="G80" s="3"/>
      <c r="H80" s="3"/>
      <c r="I80" s="3"/>
      <c r="J80" s="3"/>
      <c r="K80" s="3"/>
      <c r="L80" s="3"/>
      <c r="M80" s="3"/>
      <c r="N80" s="3"/>
      <c r="O80" s="3"/>
      <c r="P80" s="3"/>
      <c r="Q80" s="3"/>
      <c r="R80" s="3"/>
      <c r="S80" s="3"/>
      <c r="T80" s="3"/>
      <c r="U80" s="3"/>
      <c r="V80" s="3"/>
      <c r="W80" s="3"/>
    </row>
    <row r="81" spans="1:23" ht="19" customHeight="1">
      <c r="A81" s="2"/>
      <c r="B81" s="2"/>
      <c r="C81" s="2"/>
      <c r="D81" s="3"/>
      <c r="E81" s="3"/>
      <c r="F81" s="3"/>
      <c r="G81" s="3"/>
      <c r="H81" s="3"/>
      <c r="I81" s="3"/>
      <c r="J81" s="3"/>
      <c r="K81" s="3"/>
      <c r="L81" s="3"/>
      <c r="M81" s="3"/>
      <c r="N81" s="3"/>
      <c r="O81" s="3"/>
      <c r="P81" s="3"/>
      <c r="Q81" s="3"/>
      <c r="R81" s="3"/>
      <c r="S81" s="3"/>
      <c r="T81" s="3"/>
      <c r="U81" s="3"/>
      <c r="V81" s="3"/>
      <c r="W81" s="3"/>
    </row>
    <row r="82" spans="1:23" ht="19" customHeight="1">
      <c r="A82" s="2"/>
      <c r="B82" s="2"/>
      <c r="C82" s="2"/>
      <c r="D82" s="3"/>
      <c r="E82" s="3"/>
      <c r="F82" s="3"/>
      <c r="G82" s="3"/>
      <c r="H82" s="3"/>
      <c r="I82" s="3"/>
      <c r="J82" s="3"/>
      <c r="K82" s="3"/>
      <c r="L82" s="3"/>
      <c r="M82" s="3"/>
      <c r="N82" s="3"/>
      <c r="O82" s="3"/>
      <c r="P82" s="3"/>
      <c r="Q82" s="3"/>
      <c r="R82" s="3"/>
      <c r="S82" s="3"/>
      <c r="T82" s="3"/>
      <c r="U82" s="3"/>
      <c r="V82" s="3"/>
      <c r="W82" s="3"/>
    </row>
    <row r="83" spans="1:23" ht="19" customHeight="1">
      <c r="A83" s="2"/>
      <c r="B83" s="2"/>
      <c r="C83" s="2"/>
      <c r="D83" s="3"/>
      <c r="E83" s="3"/>
      <c r="F83" s="3"/>
      <c r="G83" s="3"/>
      <c r="H83" s="3"/>
      <c r="I83" s="3"/>
      <c r="J83" s="3"/>
      <c r="K83" s="3"/>
      <c r="L83" s="3"/>
      <c r="M83" s="3"/>
      <c r="N83" s="3"/>
      <c r="O83" s="3"/>
      <c r="P83" s="3"/>
      <c r="Q83" s="3"/>
      <c r="R83" s="3"/>
      <c r="S83" s="3"/>
      <c r="T83" s="3"/>
      <c r="U83" s="3"/>
      <c r="V83" s="3"/>
      <c r="W83" s="3"/>
    </row>
    <row r="84" spans="1:23" ht="19" customHeight="1">
      <c r="A84" s="2"/>
      <c r="B84" s="2"/>
      <c r="C84" s="2"/>
      <c r="D84" s="3"/>
      <c r="E84" s="3"/>
      <c r="F84" s="3"/>
      <c r="G84" s="3"/>
      <c r="H84" s="3"/>
      <c r="I84" s="3"/>
      <c r="J84" s="3"/>
      <c r="K84" s="3"/>
      <c r="L84" s="3"/>
      <c r="M84" s="3"/>
      <c r="N84" s="3"/>
      <c r="O84" s="3"/>
      <c r="P84" s="3"/>
      <c r="Q84" s="3"/>
      <c r="R84" s="3"/>
      <c r="S84" s="3"/>
      <c r="T84" s="3"/>
      <c r="U84" s="3"/>
      <c r="V84" s="3"/>
      <c r="W84" s="3"/>
    </row>
    <row r="85" spans="1:23" ht="19" customHeight="1">
      <c r="A85" s="2"/>
      <c r="B85" s="2"/>
      <c r="C85" s="2"/>
      <c r="D85" s="3"/>
      <c r="E85" s="3"/>
      <c r="F85" s="3"/>
      <c r="G85" s="3"/>
      <c r="H85" s="3"/>
      <c r="I85" s="3"/>
      <c r="J85" s="3"/>
      <c r="K85" s="3"/>
      <c r="L85" s="3"/>
      <c r="M85" s="3"/>
      <c r="N85" s="3"/>
      <c r="O85" s="3"/>
      <c r="P85" s="3"/>
      <c r="Q85" s="3"/>
      <c r="R85" s="3"/>
      <c r="S85" s="3"/>
      <c r="T85" s="3"/>
      <c r="U85" s="3"/>
      <c r="V85" s="3"/>
      <c r="W85" s="3"/>
    </row>
    <row r="86" spans="1:23" ht="19" customHeight="1">
      <c r="A86" s="2"/>
      <c r="B86" s="2"/>
      <c r="C86" s="2"/>
      <c r="D86" s="3"/>
      <c r="E86" s="3"/>
      <c r="F86" s="3"/>
      <c r="G86" s="3"/>
      <c r="H86" s="3"/>
      <c r="I86" s="3"/>
      <c r="J86" s="3"/>
      <c r="K86" s="3"/>
      <c r="L86" s="3"/>
      <c r="M86" s="3"/>
      <c r="N86" s="3"/>
      <c r="O86" s="3"/>
      <c r="P86" s="3"/>
      <c r="Q86" s="3"/>
      <c r="R86" s="3"/>
      <c r="S86" s="3"/>
      <c r="T86" s="3"/>
      <c r="U86" s="3"/>
      <c r="V86" s="3"/>
      <c r="W86" s="3"/>
    </row>
    <row r="87" spans="1:23" ht="19" customHeight="1">
      <c r="A87" s="2"/>
      <c r="B87" s="2"/>
      <c r="C87" s="2"/>
      <c r="D87" s="3"/>
      <c r="E87" s="3"/>
      <c r="F87" s="3"/>
      <c r="G87" s="3"/>
      <c r="H87" s="3"/>
      <c r="I87" s="3"/>
      <c r="J87" s="3"/>
      <c r="K87" s="3"/>
      <c r="L87" s="3"/>
      <c r="M87" s="3"/>
      <c r="N87" s="3"/>
      <c r="O87" s="3"/>
      <c r="P87" s="3"/>
      <c r="Q87" s="3"/>
      <c r="R87" s="3"/>
      <c r="S87" s="3"/>
      <c r="T87" s="3"/>
      <c r="U87" s="3"/>
      <c r="V87" s="3"/>
      <c r="W87" s="3"/>
    </row>
    <row r="88" spans="1:23" ht="19" customHeight="1">
      <c r="A88" s="2"/>
      <c r="B88" s="2"/>
      <c r="C88" s="2"/>
      <c r="D88" s="3"/>
      <c r="E88" s="3"/>
      <c r="F88" s="3"/>
      <c r="G88" s="3"/>
      <c r="H88" s="3"/>
      <c r="I88" s="3"/>
      <c r="J88" s="3"/>
      <c r="K88" s="3"/>
      <c r="L88" s="3"/>
      <c r="M88" s="3"/>
      <c r="N88" s="3"/>
      <c r="O88" s="3"/>
      <c r="P88" s="3"/>
      <c r="Q88" s="3"/>
      <c r="R88" s="3"/>
      <c r="S88" s="3"/>
      <c r="T88" s="3"/>
      <c r="U88" s="3"/>
      <c r="V88" s="3"/>
      <c r="W88" s="3"/>
    </row>
    <row r="89" spans="1:23" ht="19" customHeight="1">
      <c r="A89" s="2"/>
      <c r="B89" s="2"/>
      <c r="C89" s="2"/>
      <c r="D89" s="3"/>
      <c r="E89" s="3"/>
      <c r="F89" s="3"/>
      <c r="G89" s="3"/>
      <c r="H89" s="3"/>
      <c r="I89" s="3"/>
      <c r="J89" s="3"/>
      <c r="K89" s="3"/>
      <c r="L89" s="3"/>
      <c r="M89" s="3"/>
      <c r="N89" s="3"/>
      <c r="O89" s="3"/>
      <c r="P89" s="3"/>
      <c r="Q89" s="3"/>
      <c r="R89" s="3"/>
      <c r="S89" s="3"/>
      <c r="T89" s="3"/>
      <c r="U89" s="3"/>
      <c r="V89" s="3"/>
      <c r="W89" s="3"/>
    </row>
    <row r="90" spans="1:23" ht="19" customHeight="1">
      <c r="A90" s="2"/>
      <c r="B90" s="2"/>
      <c r="C90" s="2"/>
      <c r="D90" s="3"/>
      <c r="E90" s="3"/>
      <c r="F90" s="3"/>
      <c r="G90" s="3"/>
      <c r="H90" s="3"/>
      <c r="I90" s="3"/>
      <c r="J90" s="3"/>
      <c r="K90" s="3"/>
      <c r="L90" s="3"/>
      <c r="M90" s="3"/>
      <c r="N90" s="3"/>
      <c r="O90" s="3"/>
      <c r="P90" s="3"/>
      <c r="Q90" s="3"/>
      <c r="R90" s="3"/>
      <c r="S90" s="3"/>
      <c r="T90" s="3"/>
      <c r="U90" s="3"/>
      <c r="V90" s="3"/>
      <c r="W90" s="3"/>
    </row>
    <row r="91" spans="1:23" ht="19" customHeight="1">
      <c r="A91" s="2"/>
      <c r="B91" s="2"/>
      <c r="C91" s="2"/>
      <c r="D91" s="3"/>
      <c r="E91" s="3"/>
      <c r="F91" s="3"/>
      <c r="G91" s="3"/>
      <c r="H91" s="3"/>
      <c r="I91" s="3"/>
      <c r="J91" s="3"/>
      <c r="K91" s="3"/>
      <c r="L91" s="3"/>
      <c r="M91" s="3"/>
      <c r="N91" s="3"/>
      <c r="O91" s="3"/>
      <c r="P91" s="3"/>
      <c r="Q91" s="3"/>
      <c r="R91" s="3"/>
      <c r="S91" s="3"/>
      <c r="T91" s="3"/>
      <c r="U91" s="3"/>
      <c r="V91" s="3"/>
      <c r="W91" s="3"/>
    </row>
    <row r="92" spans="1:23" ht="19" customHeight="1">
      <c r="A92" s="2"/>
      <c r="B92" s="2"/>
      <c r="C92" s="2"/>
      <c r="D92" s="3"/>
      <c r="E92" s="3"/>
      <c r="F92" s="3"/>
      <c r="G92" s="3"/>
      <c r="H92" s="3"/>
      <c r="I92" s="3"/>
      <c r="J92" s="3"/>
      <c r="K92" s="3"/>
      <c r="L92" s="3"/>
      <c r="M92" s="3"/>
      <c r="N92" s="3"/>
      <c r="O92" s="3"/>
      <c r="P92" s="3"/>
      <c r="Q92" s="3"/>
      <c r="R92" s="3"/>
      <c r="S92" s="3"/>
      <c r="T92" s="3"/>
      <c r="U92" s="3"/>
      <c r="V92" s="3"/>
      <c r="W92" s="3"/>
    </row>
    <row r="93" spans="1:23" ht="19" customHeight="1">
      <c r="A93" s="2"/>
      <c r="B93" s="2"/>
      <c r="C93" s="2"/>
      <c r="D93" s="3"/>
      <c r="E93" s="3"/>
      <c r="F93" s="3"/>
      <c r="G93" s="3"/>
      <c r="H93" s="3"/>
      <c r="I93" s="3"/>
      <c r="J93" s="3"/>
      <c r="K93" s="3"/>
      <c r="L93" s="3"/>
      <c r="M93" s="3"/>
      <c r="N93" s="3"/>
      <c r="O93" s="3"/>
      <c r="P93" s="3"/>
      <c r="Q93" s="3"/>
      <c r="R93" s="3"/>
      <c r="S93" s="3"/>
      <c r="T93" s="3"/>
      <c r="U93" s="3"/>
      <c r="V93" s="3"/>
      <c r="W93" s="3"/>
    </row>
    <row r="94" spans="1:23" ht="19" customHeight="1">
      <c r="A94" s="2"/>
      <c r="B94" s="2"/>
      <c r="C94" s="2"/>
      <c r="D94" s="3"/>
      <c r="E94" s="3"/>
      <c r="F94" s="3"/>
      <c r="G94" s="3"/>
      <c r="H94" s="3"/>
      <c r="I94" s="3"/>
      <c r="J94" s="3"/>
      <c r="K94" s="3"/>
      <c r="L94" s="3"/>
      <c r="M94" s="3"/>
      <c r="N94" s="3"/>
      <c r="O94" s="3"/>
      <c r="P94" s="3"/>
      <c r="Q94" s="3"/>
      <c r="R94" s="3"/>
      <c r="S94" s="3"/>
      <c r="T94" s="3"/>
      <c r="U94" s="3"/>
      <c r="V94" s="3"/>
      <c r="W94" s="3"/>
    </row>
    <row r="95" spans="1:23" ht="19" customHeight="1">
      <c r="A95" s="2"/>
      <c r="B95" s="2"/>
      <c r="C95" s="2"/>
      <c r="D95" s="3"/>
      <c r="E95" s="3"/>
      <c r="F95" s="3"/>
      <c r="G95" s="3"/>
      <c r="H95" s="3"/>
      <c r="I95" s="3"/>
      <c r="J95" s="3"/>
      <c r="K95" s="3"/>
      <c r="L95" s="3"/>
      <c r="M95" s="3"/>
      <c r="N95" s="3"/>
      <c r="O95" s="3"/>
      <c r="P95" s="3"/>
      <c r="Q95" s="3"/>
      <c r="R95" s="3"/>
      <c r="S95" s="3"/>
      <c r="T95" s="3"/>
      <c r="U95" s="3"/>
      <c r="V95" s="3"/>
      <c r="W95" s="3"/>
    </row>
    <row r="96" spans="1:23" ht="19" customHeight="1">
      <c r="A96" s="2"/>
      <c r="B96" s="2"/>
      <c r="C96" s="2"/>
      <c r="D96" s="3"/>
      <c r="E96" s="3"/>
      <c r="F96" s="3"/>
      <c r="G96" s="3"/>
      <c r="H96" s="3"/>
      <c r="I96" s="3"/>
      <c r="J96" s="3"/>
      <c r="K96" s="3"/>
      <c r="L96" s="3"/>
      <c r="M96" s="3"/>
      <c r="N96" s="3"/>
      <c r="O96" s="3"/>
      <c r="P96" s="3"/>
      <c r="Q96" s="3"/>
      <c r="R96" s="3"/>
      <c r="S96" s="3"/>
      <c r="T96" s="3"/>
      <c r="U96" s="3"/>
      <c r="V96" s="3"/>
      <c r="W96" s="3"/>
    </row>
    <row r="97" spans="1:23" ht="19" customHeight="1">
      <c r="A97" s="2"/>
      <c r="B97" s="2"/>
      <c r="C97" s="2"/>
      <c r="D97" s="3"/>
      <c r="E97" s="3"/>
      <c r="F97" s="3"/>
      <c r="G97" s="3"/>
      <c r="H97" s="3"/>
      <c r="I97" s="3"/>
      <c r="J97" s="3"/>
      <c r="K97" s="3"/>
      <c r="L97" s="3"/>
      <c r="M97" s="3"/>
      <c r="N97" s="3"/>
      <c r="O97" s="3"/>
      <c r="P97" s="3"/>
      <c r="Q97" s="3"/>
      <c r="R97" s="3"/>
      <c r="S97" s="3"/>
      <c r="T97" s="3"/>
      <c r="U97" s="3"/>
      <c r="V97" s="3"/>
      <c r="W97" s="3"/>
    </row>
    <row r="98" spans="1:23" ht="19" customHeight="1">
      <c r="A98" s="2"/>
      <c r="B98" s="2"/>
      <c r="C98" s="2"/>
      <c r="D98" s="3"/>
      <c r="E98" s="3"/>
      <c r="F98" s="3"/>
      <c r="G98" s="3"/>
      <c r="H98" s="3"/>
      <c r="I98" s="3"/>
      <c r="J98" s="3"/>
      <c r="K98" s="3"/>
      <c r="L98" s="3"/>
      <c r="M98" s="3"/>
      <c r="N98" s="3"/>
      <c r="O98" s="3"/>
      <c r="P98" s="3"/>
      <c r="Q98" s="3"/>
      <c r="R98" s="3"/>
      <c r="S98" s="3"/>
      <c r="T98" s="3"/>
      <c r="U98" s="3"/>
      <c r="V98" s="3"/>
      <c r="W98" s="3"/>
    </row>
    <row r="99" spans="1:23" ht="19" customHeight="1">
      <c r="A99" s="2"/>
      <c r="B99" s="2"/>
      <c r="C99" s="2"/>
      <c r="D99" s="3"/>
      <c r="E99" s="3"/>
      <c r="F99" s="3"/>
      <c r="G99" s="3"/>
      <c r="H99" s="3"/>
      <c r="I99" s="3"/>
      <c r="J99" s="3"/>
      <c r="K99" s="3"/>
      <c r="L99" s="3"/>
      <c r="M99" s="3"/>
      <c r="N99" s="3"/>
      <c r="O99" s="3"/>
      <c r="P99" s="3"/>
      <c r="Q99" s="3"/>
      <c r="R99" s="3"/>
      <c r="S99" s="3"/>
      <c r="T99" s="3"/>
      <c r="U99" s="3"/>
      <c r="V99" s="3"/>
      <c r="W99" s="3"/>
    </row>
    <row r="100" spans="1:23" ht="19" customHeight="1">
      <c r="A100" s="2"/>
      <c r="B100" s="2"/>
      <c r="C100" s="2"/>
      <c r="D100" s="3"/>
      <c r="E100" s="3"/>
      <c r="F100" s="3"/>
      <c r="G100" s="3"/>
      <c r="H100" s="3"/>
      <c r="I100" s="3"/>
      <c r="J100" s="3"/>
      <c r="K100" s="3"/>
      <c r="L100" s="3"/>
      <c r="M100" s="3"/>
      <c r="N100" s="3"/>
      <c r="O100" s="3"/>
      <c r="P100" s="3"/>
      <c r="Q100" s="3"/>
      <c r="R100" s="3"/>
      <c r="S100" s="3"/>
      <c r="T100" s="3"/>
      <c r="U100" s="3"/>
      <c r="V100" s="3"/>
      <c r="W1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Assumptions</vt:lpstr>
      <vt:lpstr>Fee engine</vt:lpstr>
      <vt:lpstr>Disclosures</vt:lpstr>
      <vt:lpstr>Checks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Ruggero Gargiulo</cp:lastModifiedBy>
  <dcterms:modified xsi:type="dcterms:W3CDTF">2026-09-14T16:33:14Z</dcterms:modified>
</cp:coreProperties>
</file>