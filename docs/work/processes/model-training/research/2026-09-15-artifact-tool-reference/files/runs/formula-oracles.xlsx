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ab8f4a698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acle" sheetId="1" r:id="R9b419463ce664ac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28322192d4559" /><Relationship Type="http://schemas.openxmlformats.org/officeDocument/2006/relationships/theme" Target="/xl/theme/theme1.xml" Id="R4bdbb4ce4c484d24" /><Relationship Type="http://schemas.openxmlformats.org/officeDocument/2006/relationships/sheetMetadata" Target="/xl/metadata1.xml" Id="R1e21089cef3d4c69" /><Relationship Type="http://schemas.microsoft.com/office/2022/11/relationships/FeaturePropertyBag" Target="/xl/featurePropertyBag/featurePropertyBag.xml" Id="R35f8b461f28a4432" /><Relationship Type="http://schemas.openxmlformats.org/officeDocument/2006/relationships/sharedStrings" Target="/xl/sharedStrings.xml" Id="R44142f7596714a06" /><Relationship Type="http://schemas.openxmlformats.org/officeDocument/2006/relationships/worksheet" Target="/xl/worksheets/sheet1.xml" Id="R9b419463ce664a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v>10</x:v>
      </x:c>
      <x:c r="H1" t="n">
        <x:f>A1*2</x:f>
        <x:v>2</x:v>
      </x:c>
      <x:c r="L1" t="str">
        <x:v>Function</x:v>
      </x:c>
      <x:c r="M1" t="str">
        <x:v>Calculated</x:v>
      </x:c>
      <x:c r="N1" t="str">
        <x:v>Expected</x:v>
      </x:c>
      <x:c r="O1" t="str">
        <x:v>Probe</x:v>
      </x:c>
    </x:row>
    <x:row r="2">
      <x:c r="A2" t="n">
        <x:v>2</x:v>
      </x:c>
      <x:c r="B2" t="n">
        <x:v>20</x:v>
      </x:c>
      <x:c r="L2" t="str">
        <x:v>SUM</x:v>
      </x:c>
      <x:c r="M2" t="n">
        <x:f>SUM(A1:A5)</x:f>
        <x:v>15</x:v>
      </x:c>
      <x:c r="N2" t="n">
        <x:v>15</x:v>
      </x:c>
      <x:c r="O2" t="str">
        <x:v>MATCH</x:v>
      </x:c>
    </x:row>
    <x:row r="3">
      <x:c r="A3" t="n">
        <x:v>3</x:v>
      </x:c>
      <x:c r="B3" t="n">
        <x:v>30</x:v>
      </x:c>
      <x:c r="L3" t="str">
        <x:v>PRODUCT</x:v>
      </x:c>
      <x:c r="M3" t="n">
        <x:f>PRODUCT(A1:A5)</x:f>
        <x:v>120</x:v>
      </x:c>
      <x:c r="N3" t="n">
        <x:v>120</x:v>
      </x:c>
      <x:c r="O3" t="str">
        <x:v>MATCH</x:v>
      </x:c>
    </x:row>
    <x:row r="4">
      <x:c r="A4" t="n">
        <x:v>4</x:v>
      </x:c>
      <x:c r="B4" t="n">
        <x:v>40</x:v>
      </x:c>
      <x:c r="L4" t="str">
        <x:v>SUMPRODUCT</x:v>
      </x:c>
      <x:c r="M4" t="n">
        <x:f>SUMPRODUCT(A1:A5,B1:B5)</x:f>
        <x:v>550</x:v>
      </x:c>
      <x:c r="N4" t="n">
        <x:v>550</x:v>
      </x:c>
      <x:c r="O4" t="str">
        <x:v>MATCH</x:v>
      </x:c>
    </x:row>
    <x:row r="5">
      <x:c r="A5" t="n">
        <x:v>5</x:v>
      </x:c>
      <x:c r="B5" t="n">
        <x:v>50</x:v>
      </x:c>
      <x:c r="L5" t="str">
        <x:v>SUMIFS</x:v>
      </x:c>
      <x:c r="M5" t="n">
        <x:f>SUMIFS(B1:B5,A1:A5,"&gt;2")</x:f>
        <x:v>120</x:v>
      </x:c>
      <x:c r="N5" t="n">
        <x:v>120</x:v>
      </x:c>
      <x:c r="O5" t="str">
        <x:v>MATCH</x:v>
      </x:c>
    </x:row>
    <x:row r="6">
      <x:c r="L6" t="str">
        <x:v>COUNTIFS</x:v>
      </x:c>
      <x:c r="M6" t="n">
        <x:f>COUNTIFS(A1:A5,"&gt;2")</x:f>
        <x:v>3</x:v>
      </x:c>
      <x:c r="N6" t="n">
        <x:v>3</x:v>
      </x:c>
      <x:c r="O6" t="str">
        <x:v>MATCH</x:v>
      </x:c>
    </x:row>
    <x:row r="7">
      <x:c r="L7" t="str">
        <x:v>AVERAGEIFS</x:v>
      </x:c>
      <x:c r="M7" t="n">
        <x:f>AVERAGEIFS(B1:B5,A1:A5,"&gt;2")</x:f>
        <x:v>40</x:v>
      </x:c>
      <x:c r="N7" t="n">
        <x:v>40</x:v>
      </x:c>
      <x:c r="O7" t="str">
        <x:v>MATCH</x:v>
      </x:c>
    </x:row>
    <x:row r="8">
      <x:c r="L8" t="str">
        <x:v>ROUND</x:v>
      </x:c>
      <x:c r="M8" t="n">
        <x:f>ROUND(12.345,2)</x:f>
        <x:v>12.35</x:v>
      </x:c>
      <x:c r="N8" t="n">
        <x:v>12.35</x:v>
      </x:c>
      <x:c r="O8" t="str">
        <x:v>MATCH</x:v>
      </x:c>
    </x:row>
    <x:row r="9">
      <x:c r="L9" t="str">
        <x:v>MOD</x:v>
      </x:c>
      <x:c r="M9" t="n">
        <x:f>MOD(17,5)</x:f>
        <x:v>2</x:v>
      </x:c>
      <x:c r="N9" t="n">
        <x:v>2</x:v>
      </x:c>
      <x:c r="O9" t="str">
        <x:v>MATCH</x:v>
      </x:c>
    </x:row>
    <x:row r="10">
      <x:c r="L10" t="str">
        <x:v>POWER</x:v>
      </x:c>
      <x:c r="M10" t="n">
        <x:f>POWER(2,8)</x:f>
        <x:v>256</x:v>
      </x:c>
      <x:c r="N10" t="n">
        <x:v>256</x:v>
      </x:c>
      <x:c r="O10" t="str">
        <x:v>MATCH</x:v>
      </x:c>
    </x:row>
    <x:row r="11">
      <x:c r="L11" t="str">
        <x:v>SQRT</x:v>
      </x:c>
      <x:c r="M11" t="n">
        <x:f>SQRT(81)</x:f>
        <x:v>9</x:v>
      </x:c>
      <x:c r="N11" t="n">
        <x:v>9</x:v>
      </x:c>
      <x:c r="O11" t="str">
        <x:v>MATCH</x:v>
      </x:c>
    </x:row>
    <x:row r="12">
      <x:c r="L12" t="str">
        <x:v>CEILING.MATH</x:v>
      </x:c>
      <x:c r="M12" t="n">
        <x:f>CEILING.MATH(4.2)</x:f>
        <x:v>5</x:v>
      </x:c>
      <x:c r="N12" t="n">
        <x:v>5</x:v>
      </x:c>
      <x:c r="O12" t="str">
        <x:v>MATCH</x:v>
      </x:c>
    </x:row>
    <x:row r="13">
      <x:c r="L13" t="str">
        <x:v>FLOOR.MATH</x:v>
      </x:c>
      <x:c r="M13" t="n">
        <x:f>FLOOR.MATH(4.8)</x:f>
        <x:v>4</x:v>
      </x:c>
      <x:c r="N13" t="n">
        <x:v>4</x:v>
      </x:c>
      <x:c r="O13" t="str">
        <x:v>MATCH</x:v>
      </x:c>
    </x:row>
    <x:row r="14">
      <x:c r="L14" t="str">
        <x:v>ABS</x:v>
      </x:c>
      <x:c r="M14" t="n">
        <x:f>ABS(-4)</x:f>
        <x:v>4</x:v>
      </x:c>
      <x:c r="N14" t="n">
        <x:v>4</x:v>
      </x:c>
      <x:c r="O14" t="str">
        <x:v>MATCH</x:v>
      </x:c>
    </x:row>
    <x:row r="15">
      <x:c r="L15" t="str">
        <x:v>AVERAGE</x:v>
      </x:c>
      <x:c r="M15" t="n">
        <x:f>AVERAGE(A1:A5)</x:f>
        <x:v>3</x:v>
      </x:c>
      <x:c r="N15" t="n">
        <x:v>3</x:v>
      </x:c>
      <x:c r="O15" t="str">
        <x:v>MATCH</x:v>
      </x:c>
    </x:row>
    <x:row r="16">
      <x:c r="L16" t="str">
        <x:v>MEDIAN</x:v>
      </x:c>
      <x:c r="M16" t="n">
        <x:f>MEDIAN(A1:A5)</x:f>
        <x:v>3</x:v>
      </x:c>
      <x:c r="N16" t="n">
        <x:v>3</x:v>
      </x:c>
      <x:c r="O16" t="str">
        <x:v>MATCH</x:v>
      </x:c>
    </x:row>
    <x:row r="17">
      <x:c r="L17" t="str">
        <x:v>MIN</x:v>
      </x:c>
      <x:c r="M17" t="n">
        <x:f>MIN(A1:A5)</x:f>
        <x:v>1</x:v>
      </x:c>
      <x:c r="N17" t="n">
        <x:v>1</x:v>
      </x:c>
      <x:c r="O17" t="str">
        <x:v>MATCH</x:v>
      </x:c>
    </x:row>
    <x:row r="18">
      <x:c r="L18" t="str">
        <x:v>MAX</x:v>
      </x:c>
      <x:c r="M18" t="n">
        <x:f>MAX(A1:A5)</x:f>
        <x:v>5</x:v>
      </x:c>
      <x:c r="N18" t="n">
        <x:v>5</x:v>
      </x:c>
      <x:c r="O18" t="str">
        <x:v>MATCH</x:v>
      </x:c>
    </x:row>
    <x:row r="19">
      <x:c r="L19" t="str">
        <x:v>STDEV.S</x:v>
      </x:c>
      <x:c r="M19" t="n">
        <x:f>STDEV.S(A1:A5)</x:f>
        <x:v>1.5811388300841898</x:v>
      </x:c>
      <x:c r="N19" t="n">
        <x:v>1.5811388300841898</x:v>
      </x:c>
      <x:c r="O19" t="str">
        <x:v>MATCH</x:v>
      </x:c>
    </x:row>
    <x:row r="20">
      <x:c r="L20" t="str">
        <x:v>VAR.P</x:v>
      </x:c>
      <x:c r="M20" t="n">
        <x:f>VAR.P(A1:A5)</x:f>
        <x:v>2</x:v>
      </x:c>
      <x:c r="N20" t="n">
        <x:v>2</x:v>
      </x:c>
      <x:c r="O20" t="str">
        <x:v>MATCH</x:v>
      </x:c>
    </x:row>
    <x:row r="21">
      <x:c r="L21" t="str">
        <x:v>CORREL</x:v>
      </x:c>
      <x:c r="M21" t="n">
        <x:f>CORREL(A1:A5,B1:B5)</x:f>
        <x:v>1</x:v>
      </x:c>
      <x:c r="N21" t="n">
        <x:v>1</x:v>
      </x:c>
      <x:c r="O21" t="str">
        <x:v>MATCH</x:v>
      </x:c>
    </x:row>
    <x:row r="22">
      <x:c r="L22" t="str">
        <x:v>NORM.DIST</x:v>
      </x:c>
      <x:c r="M22" t="n">
        <x:f>NORM.DIST(0,0,1,TRUE)</x:f>
        <x:v>0.5</x:v>
      </x:c>
      <x:c r="N22" t="n">
        <x:v>0.5</x:v>
      </x:c>
      <x:c r="O22" t="str">
        <x:v>MATCH</x:v>
      </x:c>
    </x:row>
    <x:row r="23">
      <x:c r="L23" t="str">
        <x:v>PERCENTILE.INC</x:v>
      </x:c>
      <x:c r="M23" t="n">
        <x:f>PERCENTILE.INC(A1:A5,0.5)</x:f>
        <x:v>3</x:v>
      </x:c>
      <x:c r="N23" t="n">
        <x:v>3</x:v>
      </x:c>
      <x:c r="O23" t="str">
        <x:v>MATCH</x:v>
      </x:c>
    </x:row>
    <x:row r="24">
      <x:c r="L24" t="str">
        <x:v>IF</x:v>
      </x:c>
      <x:c r="M24" t="str">
        <x:f>IF(A1=1,"yes","no")</x:f>
        <x:v>yes</x:v>
      </x:c>
      <x:c r="N24" t="str">
        <x:v>yes</x:v>
      </x:c>
      <x:c r="O24" t="str">
        <x:v>MATCH</x:v>
      </x:c>
    </x:row>
    <x:row r="25">
      <x:c r="L25" t="str">
        <x:v>AND</x:v>
      </x:c>
      <x:c r="M25" t="b">
        <x:f>AND(A1=1,A2=2)</x:f>
        <x:v>1</x:v>
      </x:c>
      <x:c r="N25" s="1" t="b">
        <x:v>1</x:v>
      </x:c>
      <x:c r="O25" t="str">
        <x:v>MATCH</x:v>
      </x:c>
    </x:row>
    <x:row r="26">
      <x:c r="L26" t="str">
        <x:v>OR</x:v>
      </x:c>
      <x:c r="M26" t="b">
        <x:f>OR(FALSE,TRUE)</x:f>
        <x:v>1</x:v>
      </x:c>
      <x:c r="N26" s="1" t="b">
        <x:v>1</x:v>
      </x:c>
      <x:c r="O26" t="str">
        <x:v>MATCH</x:v>
      </x:c>
    </x:row>
    <x:row r="27">
      <x:c r="L27" t="str">
        <x:v>IFERROR</x:v>
      </x:c>
      <x:c r="M27" t="n">
        <x:f>IFERROR(1/0,99)</x:f>
        <x:v>99</x:v>
      </x:c>
      <x:c r="N27" t="n">
        <x:v>99</x:v>
      </x:c>
      <x:c r="O27" t="str">
        <x:v>MATCH</x:v>
      </x:c>
    </x:row>
    <x:row r="28">
      <x:c r="L28" t="str">
        <x:v>IFNA</x:v>
      </x:c>
      <x:c r="M28" t="n">
        <x:f>IFNA(NA(),99)</x:f>
        <x:v>99</x:v>
      </x:c>
      <x:c r="N28" t="n">
        <x:v>99</x:v>
      </x:c>
      <x:c r="O28" t="str">
        <x:v>MATCH</x:v>
      </x:c>
    </x:row>
    <x:row r="29">
      <x:c r="L29" t="str">
        <x:v>CHOOSE</x:v>
      </x:c>
      <x:c r="M29" t="n">
        <x:f>CHOOSE(2,10,20,30)</x:f>
        <x:v>20</x:v>
      </x:c>
      <x:c r="N29" t="n">
        <x:v>20</x:v>
      </x:c>
      <x:c r="O29" t="str">
        <x:v>MATCH</x:v>
      </x:c>
    </x:row>
    <x:row r="30">
      <x:c r="L30" t="str">
        <x:v>SWITCH</x:v>
      </x:c>
      <x:c r="M30" t="n">
        <x:f>SWITCH(2,1,10,2,20,0)</x:f>
        <x:v>20</x:v>
      </x:c>
      <x:c r="N30" t="n">
        <x:v>20</x:v>
      </x:c>
      <x:c r="O30" t="str">
        <x:v>MATCH</x:v>
      </x:c>
    </x:row>
    <x:row r="31">
      <x:c r="L31" t="str">
        <x:v>IFS-prefixed</x:v>
      </x:c>
      <x:c r="M31" t="n">
        <x:f>_xlfn.IFS(A1=1,10,TRUE,20)</x:f>
        <x:v>10</x:v>
      </x:c>
      <x:c r="N31" t="n">
        <x:v>10</x:v>
      </x:c>
      <x:c r="O31" t="str">
        <x:v>MATCH</x:v>
      </x:c>
    </x:row>
    <x:row r="32">
      <x:c r="L32" t="str">
        <x:v>INDEX</x:v>
      </x:c>
      <x:c r="M32" t="n">
        <x:f>INDEX(B1:B5,3)</x:f>
        <x:v>30</x:v>
      </x:c>
      <x:c r="N32" t="n">
        <x:v>30</x:v>
      </x:c>
      <x:c r="O32" t="str">
        <x:v>MATCH</x:v>
      </x:c>
    </x:row>
    <x:row r="33">
      <x:c r="L33" t="str">
        <x:v>MATCH</x:v>
      </x:c>
      <x:c r="M33" t="n">
        <x:f>MATCH(3,A1:A5,0)</x:f>
        <x:v>3</x:v>
      </x:c>
      <x:c r="N33" t="n">
        <x:v>3</x:v>
      </x:c>
      <x:c r="O33" t="str">
        <x:v>MATCH</x:v>
      </x:c>
    </x:row>
    <x:row r="34">
      <x:c r="L34" t="str">
        <x:v>VLOOKUP</x:v>
      </x:c>
      <x:c r="M34" t="n">
        <x:f>VLOOKUP(3,A1:B5,2,FALSE)</x:f>
        <x:v>30</x:v>
      </x:c>
      <x:c r="N34" t="n">
        <x:v>30</x:v>
      </x:c>
      <x:c r="O34" t="str">
        <x:v>MATCH</x:v>
      </x:c>
    </x:row>
    <x:row r="35">
      <x:c r="L35" t="str">
        <x:v>XLOOKUP</x:v>
      </x:c>
      <x:c r="M35" t="n">
        <x:f>XLOOKUP(3,A1:A5,B1:B5)</x:f>
        <x:v>30</x:v>
      </x:c>
      <x:c r="N35" t="n">
        <x:v>30</x:v>
      </x:c>
      <x:c r="O35" t="str">
        <x:v>MATCH</x:v>
      </x:c>
    </x:row>
    <x:row r="36">
      <x:c r="L36" t="str">
        <x:v>XLOOKUP-prefixed</x:v>
      </x:c>
      <x:c r="M36" t="n">
        <x:f>_xlfn.XLOOKUP(3,A1:A5,B1:B5)</x:f>
        <x:v>30</x:v>
      </x:c>
      <x:c r="N36" t="n">
        <x:v>30</x:v>
      </x:c>
      <x:c r="O36" t="str">
        <x:v>MATCH</x:v>
      </x:c>
    </x:row>
    <x:row r="37">
      <x:c r="L37" t="str">
        <x:v>OFFSET</x:v>
      </x:c>
      <x:c r="M37" t="e">
        <x:f>OFFSET(A1,1,1)</x:f>
        <x:v>OFFSET is not implemented. reference=1, rows=1, cols=1, height=undefined, width=undefined</x:v>
      </x:c>
      <x:c r="N37" t="n">
        <x:v>20</x:v>
      </x:c>
      <x:c r="O37" t="str">
        <x:v>DIFFERENCE</x:v>
      </x:c>
    </x:row>
    <x:row r="38">
      <x:c r="L38" t="str">
        <x:v>INDIRECT</x:v>
      </x:c>
      <x:c r="M38" t="e">
        <x:f>INDIRECT("B3")</x:f>
        <x:v>INDIRECT is not implemented. refText=B3, a1=undefined</x:v>
      </x:c>
      <x:c r="N38" t="n">
        <x:v>30</x:v>
      </x:c>
      <x:c r="O38" t="str">
        <x:v>DIFFERENCE</x:v>
      </x:c>
    </x:row>
    <x:row r="39">
      <x:c r="L39" t="str">
        <x:v>ADDRESS</x:v>
      </x:c>
      <x:c r="M39" t="str">
        <x:f>ADDRESS(3,2)</x:f>
        <x:v>$B$3</x:v>
      </x:c>
      <x:c r="N39" t="str">
        <x:v>$B$3</x:v>
      </x:c>
      <x:c r="O39" t="str">
        <x:v>MATCH</x:v>
      </x:c>
    </x:row>
    <x:row r="40">
      <x:c r="L40" t="str">
        <x:v>FORMULATEXT</x:v>
      </x:c>
      <x:c r="M40" t="e">
        <x:f>FORMULATEXT(H1)</x:f>
        <x:v>FORMULATEXT is not implemented. reference=2</x:v>
      </x:c>
      <x:c r="N40" t="n">
        <x:f>A1*2</x:f>
        <x:v>2</x:v>
      </x:c>
      <x:c r="O40" t="str">
        <x:v>DIFFERENCE</x:v>
      </x:c>
    </x:row>
    <x:row r="41">
      <x:c r="L41" t="str">
        <x:v>ISFORMULA</x:v>
      </x:c>
      <x:c r="M41" t="e">
        <x:f>ISFORMULA(H1)</x:f>
        <x:v>ISFORMULA is not implemented. reference=2</x:v>
      </x:c>
      <x:c r="N41" s="1" t="b">
        <x:v>1</x:v>
      </x:c>
      <x:c r="O41" t="str">
        <x:v>DIFFERENCE</x:v>
      </x:c>
    </x:row>
    <x:row r="42">
      <x:c r="L42" t="str">
        <x:v>ISNUMBER</x:v>
      </x:c>
      <x:c r="M42" t="b">
        <x:f>ISNUMBER(B1)</x:f>
        <x:v>1</x:v>
      </x:c>
      <x:c r="N42" s="1" t="b">
        <x:v>1</x:v>
      </x:c>
      <x:c r="O42" t="str">
        <x:v>MATCH</x:v>
      </x:c>
    </x:row>
    <x:row r="43">
      <x:c r="L43" t="str">
        <x:v>ISBLANK</x:v>
      </x:c>
      <x:c r="M43" t="b">
        <x:f>ISBLANK(J1)</x:f>
        <x:v>1</x:v>
      </x:c>
      <x:c r="N43" s="1" t="b">
        <x:v>1</x:v>
      </x:c>
      <x:c r="O43" t="str">
        <x:v>MATCH</x:v>
      </x:c>
    </x:row>
    <x:row r="44">
      <x:c r="L44" t="str">
        <x:v>ISERROR</x:v>
      </x:c>
      <x:c r="M44" t="b">
        <x:f>ISERROR(1/0)</x:f>
        <x:v>1</x:v>
      </x:c>
      <x:c r="N44" s="1" t="b">
        <x:v>1</x:v>
      </x:c>
      <x:c r="O44" t="str">
        <x:v>MATCH</x:v>
      </x:c>
    </x:row>
    <x:row r="45">
      <x:c r="L45" t="str">
        <x:v>TYPE</x:v>
      </x:c>
      <x:c r="M45" t="n">
        <x:f>TYPE("x")</x:f>
        <x:v>2</x:v>
      </x:c>
      <x:c r="N45" t="n">
        <x:v>2</x:v>
      </x:c>
      <x:c r="O45" t="str">
        <x:v>MATCH</x:v>
      </x:c>
    </x:row>
    <x:row r="46">
      <x:c r="L46" t="str">
        <x:v>LEN</x:v>
      </x:c>
      <x:c r="M46" t="n">
        <x:f>LEN("hello")</x:f>
        <x:v>5</x:v>
      </x:c>
      <x:c r="N46" t="n">
        <x:v>5</x:v>
      </x:c>
      <x:c r="O46" t="str">
        <x:v>MATCH</x:v>
      </x:c>
    </x:row>
    <x:row r="47">
      <x:c r="L47" t="str">
        <x:v>LEFT</x:v>
      </x:c>
      <x:c r="M47" t="str">
        <x:f>LEFT("hello",2)</x:f>
        <x:v>he</x:v>
      </x:c>
      <x:c r="N47" t="str">
        <x:v>he</x:v>
      </x:c>
      <x:c r="O47" t="str">
        <x:v>MATCH</x:v>
      </x:c>
    </x:row>
    <x:row r="48">
      <x:c r="L48" t="str">
        <x:v>MID</x:v>
      </x:c>
      <x:c r="M48" t="str">
        <x:f>MID("hello",2,3)</x:f>
        <x:v>ell</x:v>
      </x:c>
      <x:c r="N48" t="str">
        <x:v>ell</x:v>
      </x:c>
      <x:c r="O48" t="str">
        <x:v>MATCH</x:v>
      </x:c>
    </x:row>
    <x:row r="49">
      <x:c r="L49" t="str">
        <x:v>TRIM</x:v>
      </x:c>
      <x:c r="M49" t="str">
        <x:f>TRIM("  a  b  ")</x:f>
        <x:v>a b</x:v>
      </x:c>
      <x:c r="N49" t="str">
        <x:v>a b</x:v>
      </x:c>
      <x:c r="O49" t="str">
        <x:v>MATCH</x:v>
      </x:c>
    </x:row>
    <x:row r="50">
      <x:c r="L50" t="str">
        <x:v>SUBSTITUTE</x:v>
      </x:c>
      <x:c r="M50" t="str">
        <x:f>SUBSTITUTE("a-b","-","/")</x:f>
        <x:v>a/b</x:v>
      </x:c>
      <x:c r="N50" t="str">
        <x:v>a/b</x:v>
      </x:c>
      <x:c r="O50" t="str">
        <x:v>MATCH</x:v>
      </x:c>
    </x:row>
    <x:row r="51">
      <x:c r="L51" t="str">
        <x:v>TEXTJOIN-prefixed</x:v>
      </x:c>
      <x:c r="M51" t="str">
        <x:f>_xlfn.TEXTJOIN(", ",TRUE,"a","b")</x:f>
        <x:v>a, b</x:v>
      </x:c>
      <x:c r="N51" t="str">
        <x:v>a, b</x:v>
      </x:c>
      <x:c r="O51" t="str">
        <x:v>MATCH</x:v>
      </x:c>
    </x:row>
    <x:row r="52">
      <x:c r="L52" t="str">
        <x:v>TEXT</x:v>
      </x:c>
      <x:c r="M52" t="str">
        <x:f>TEXT(0.125,"0.0%")</x:f>
        <x:v>12.5%</x:v>
      </x:c>
      <x:c r="N52" t="str">
        <x:v>12.5%</x:v>
      </x:c>
      <x:c r="O52" t="str">
        <x:v>MATCH</x:v>
      </x:c>
    </x:row>
    <x:row r="53">
      <x:c r="L53" t="str">
        <x:v>DATE</x:v>
      </x:c>
      <x:c r="M53" t="n">
        <x:f>DATE(2026,1,1)</x:f>
        <x:v>46023</x:v>
      </x:c>
      <x:c r="N53" t="n">
        <x:v>46023</x:v>
      </x:c>
      <x:c r="O53" t="str">
        <x:v>MATCH</x:v>
      </x:c>
    </x:row>
    <x:row r="54">
      <x:c r="L54" t="str">
        <x:v>YEAR</x:v>
      </x:c>
      <x:c r="M54" t="n">
        <x:f>YEAR(DATE(2026,1,1))</x:f>
        <x:v>2026</x:v>
      </x:c>
      <x:c r="N54" t="n">
        <x:v>2026</x:v>
      </x:c>
      <x:c r="O54" t="str">
        <x:v>MATCH</x:v>
      </x:c>
    </x:row>
    <x:row r="55">
      <x:c r="L55" t="str">
        <x:v>MONTH</x:v>
      </x:c>
      <x:c r="M55" t="n">
        <x:f>MONTH(DATE(2026,9,15))</x:f>
        <x:v>9</x:v>
      </x:c>
      <x:c r="N55" t="n">
        <x:v>9</x:v>
      </x:c>
      <x:c r="O55" t="str">
        <x:v>MATCH</x:v>
      </x:c>
    </x:row>
    <x:row r="56">
      <x:c r="L56" t="str">
        <x:v>EOMONTH</x:v>
      </x:c>
      <x:c r="M56" t="n">
        <x:f>DAY(EOMONTH(DATE(2026,2,2),0))</x:f>
        <x:v>28</x:v>
      </x:c>
      <x:c r="N56" t="n">
        <x:v>28</x:v>
      </x:c>
      <x:c r="O56" t="str">
        <x:v>MATCH</x:v>
      </x:c>
    </x:row>
    <x:row r="57">
      <x:c r="L57" t="str">
        <x:v>EDATE</x:v>
      </x:c>
      <x:c r="M57" t="n">
        <x:f>MONTH(EDATE(DATE(2026,1,1),2))</x:f>
        <x:v>3</x:v>
      </x:c>
      <x:c r="N57" t="n">
        <x:v>3</x:v>
      </x:c>
      <x:c r="O57" t="str">
        <x:v>MATCH</x:v>
      </x:c>
    </x:row>
    <x:row r="58">
      <x:c r="L58" t="str">
        <x:v>NETWORKDAYS</x:v>
      </x:c>
      <x:c r="M58" t="n">
        <x:f>NETWORKDAYS(DATE(2026,9,14),DATE(2026,9,18))</x:f>
        <x:v>5</x:v>
      </x:c>
      <x:c r="N58" t="n">
        <x:v>5</x:v>
      </x:c>
      <x:c r="O58" t="str">
        <x:v>MATCH</x:v>
      </x:c>
    </x:row>
    <x:row r="59">
      <x:c r="L59" t="str">
        <x:v>DAYS</x:v>
      </x:c>
      <x:c r="M59" t="n">
        <x:f>DAYS(DATE(2026,2,1),DATE(2026,1,1))</x:f>
        <x:v>31</x:v>
      </x:c>
      <x:c r="N59" t="n">
        <x:v>31</x:v>
      </x:c>
      <x:c r="O59" t="str">
        <x:v>MATCH</x:v>
      </x:c>
    </x:row>
    <x:row r="60">
      <x:c r="L60" t="str">
        <x:v>PMT</x:v>
      </x:c>
      <x:c r="M60" t="n">
        <x:f>PMT(0,10,1000)</x:f>
        <x:v>-100</x:v>
      </x:c>
      <x:c r="N60" t="n">
        <x:v>-100</x:v>
      </x:c>
      <x:c r="O60" t="str">
        <x:v>MATCH</x:v>
      </x:c>
    </x:row>
    <x:row r="61">
      <x:c r="L61" t="str">
        <x:v>PV</x:v>
      </x:c>
      <x:c r="M61" t="n">
        <x:f>PV(0,10,-100)</x:f>
        <x:v>1000</x:v>
      </x:c>
      <x:c r="N61" t="n">
        <x:v>1000</x:v>
      </x:c>
      <x:c r="O61" t="str">
        <x:v>MATCH</x:v>
      </x:c>
    </x:row>
    <x:row r="62">
      <x:c r="L62" t="str">
        <x:v>FV</x:v>
      </x:c>
      <x:c r="M62" t="n">
        <x:f>FV(0,10,-100)</x:f>
        <x:v>1000</x:v>
      </x:c>
      <x:c r="N62" t="n">
        <x:v>1000</x:v>
      </x:c>
      <x:c r="O62" t="str">
        <x:v>MATCH</x:v>
      </x:c>
    </x:row>
    <x:row r="63">
      <x:c r="L63" t="str">
        <x:v>NPV</x:v>
      </x:c>
      <x:c r="M63" t="n">
        <x:f>NPV(0.1,100,100)</x:f>
        <x:v>173.55371900826447</x:v>
      </x:c>
      <x:c r="N63" t="n">
        <x:v>173.55371900826447</x:v>
      </x:c>
      <x:c r="O63" t="str">
        <x:v>MATCH</x:v>
      </x:c>
    </x:row>
    <x:row r="64">
      <x:c r="L64" t="str">
        <x:v>IRR</x:v>
      </x:c>
      <x:c r="M64" t="n">
        <x:f>IRR({-100,110})</x:f>
        <x:v>0.1</x:v>
      </x:c>
      <x:c r="N64" t="n">
        <x:v>0.1</x:v>
      </x:c>
      <x:c r="O64" t="str">
        <x:v>MATCH</x:v>
      </x:c>
    </x:row>
    <x:row r="65">
      <x:c r="L65" t="str">
        <x:v>XIRR</x:v>
      </x:c>
      <x:c r="M65" t="n">
        <x:f>XIRR({-100,110},{DATE(2025,1,1),DATE(2026,1,1)})</x:f>
        <x:v>0.09999999999999985</x:v>
      </x:c>
      <x:c r="N65" t="n">
        <x:v>0.1</x:v>
      </x:c>
      <x:c r="O65" t="str">
        <x:v>MATCH</x:v>
      </x:c>
    </x:row>
    <x:row r="66">
      <x:c r="L66" t="str">
        <x:v>RATE</x:v>
      </x:c>
      <x:c r="M66" t="n">
        <x:f>RATE(1,0,-100,110)</x:f>
        <x:v>0.10000000000000009</x:v>
      </x:c>
      <x:c r="N66" t="n">
        <x:v>0.1</x:v>
      </x:c>
      <x:c r="O66" t="str">
        <x:v>MATCH</x:v>
      </x:c>
    </x:row>
    <x:row r="67">
      <x:c r="L67" t="str">
        <x:v>NPER</x:v>
      </x:c>
      <x:c r="M67" t="n">
        <x:f>NPER(0,-10,100)</x:f>
        <x:v>10</x:v>
      </x:c>
      <x:c r="N67" t="n">
        <x:v>10</x:v>
      </x:c>
      <x:c r="O67" t="str">
        <x:v>MATCH</x:v>
      </x:c>
    </x:row>
    <x:row r="68">
      <x:c r="L68" t="str">
        <x:v>SLN</x:v>
      </x:c>
      <x:c r="M68" t="n">
        <x:f>SLN(100,10,9)</x:f>
        <x:v>10</x:v>
      </x:c>
      <x:c r="N68" t="n">
        <x:v>10</x:v>
      </x:c>
      <x:c r="O68" t="str">
        <x:v>MATCH</x:v>
      </x:c>
    </x:row>
    <x:row r="69">
      <x:c r="L69" t="str">
        <x:v>CONVERT</x:v>
      </x:c>
      <x:c r="M69" t="n">
        <x:f>CONVERT(1,"m","cm")</x:f>
        <x:v>100</x:v>
      </x:c>
      <x:c r="N69" t="n">
        <x:v>100</x:v>
      </x:c>
      <x:c r="O69" t="str">
        <x:v>MATCH</x:v>
      </x:c>
    </x:row>
    <x:row r="70">
      <x:c r="L70" t="str">
        <x:v>DEC2BIN</x:v>
      </x:c>
      <x:c r="M70" t="str">
        <x:f>DEC2BIN(10)</x:f>
        <x:v>1010</x:v>
      </x:c>
      <x:c r="N70" t="str">
        <x:v>1010</x:v>
      </x:c>
      <x:c r="O70" t="str">
        <x:v>MATCH</x:v>
      </x:c>
    </x:row>
    <x:row r="71">
      <x:c r="L71" t="str">
        <x:v>BIN2DEC</x:v>
      </x:c>
      <x:c r="M71" t="n">
        <x:f>BIN2DEC("1010")</x:f>
        <x:v>10</x:v>
      </x:c>
      <x:c r="N71" t="n">
        <x:v>10</x:v>
      </x:c>
      <x:c r="O71" t="str">
        <x:v>MATCH</x:v>
      </x:c>
    </x:row>
    <x:row r="72">
      <x:c r="L72" t="str">
        <x:v>IMABS</x:v>
      </x:c>
      <x:c r="M72" t="n">
        <x:f>IMABS("3+4i")</x:f>
        <x:v>5</x:v>
      </x:c>
      <x:c r="N72" t="n">
        <x:v>5</x:v>
      </x:c>
      <x:c r="O72" t="str">
        <x:v>MATCH</x:v>
      </x:c>
    </x:row>
    <x:row r="73">
      <x:c r="L73" t="str">
        <x:v>IMSUM</x:v>
      </x:c>
      <x:c r="M73" t="str">
        <x:f>IMSUM("1+2i","3+4i")</x:f>
        <x:v>4+6i</x:v>
      </x:c>
      <x:c r="N73" t="str">
        <x:v>4+6i</x:v>
      </x:c>
      <x:c r="O73" t="str">
        <x:v>MATCH</x:v>
      </x:c>
    </x:row>
    <x:row r="74">
      <x:c r="L74" t="str">
        <x:v>LET</x:v>
      </x:c>
      <x:c r="M74" t="n">
        <x:f>LET(x,2,x*3)</x:f>
        <x:v>6</x:v>
      </x:c>
      <x:c r="N74" t="n">
        <x:v>6</x:v>
      </x:c>
      <x:c r="O74" t="str">
        <x:v>MATCH</x:v>
      </x:c>
    </x:row>
    <x:row r="75">
      <x:c r="L75" t="str">
        <x:v>LET-prefixed</x:v>
      </x:c>
      <x:c r="M75" t="n">
        <x:f>_xlfn.LET(_xlpm.x,2,_xlpm.x*3)</x:f>
        <x:v>6</x:v>
      </x:c>
      <x:c r="N75" t="n">
        <x:v>6</x:v>
      </x:c>
      <x:c r="O75" t="str">
        <x:v>MATCH</x:v>
      </x:c>
    </x:row>
    <x:row r="76">
      <x:c r="L76" t="str">
        <x:v>LAMBDA-call</x:v>
      </x:c>
      <x:c r="M76" t="n" cm="1">
        <x:f t="array" ref="M76">_xlfn.LAMBDA(_xlpm.x,_xlpm.x*3)(2)</x:f>
        <x:v>6</x:v>
      </x:c>
      <x:c r="N76" t="n">
        <x:v>6</x:v>
      </x:c>
      <x:c r="O76" t="str">
        <x:v>MATCH</x:v>
      </x:c>
    </x:row>
    <x:row r="77">
      <x:c r="L77" t="str">
        <x:v>COUNTBLANK</x:v>
      </x:c>
      <x:c r="M77" t="n">
        <x:f>COUNTBLANK(J1:J5)</x:f>
        <x:v>5</x:v>
      </x:c>
      <x:c r="N77" t="n">
        <x:v>5</x:v>
      </x:c>
      <x:c r="O77" t="str">
        <x:v>MATCH</x:v>
      </x:c>
    </x:row>
    <x:row r="78">
      <x:c r="L78" t="str">
        <x:v>COUNTIF-blanks</x:v>
      </x:c>
      <x:c r="M78" t="n">
        <x:f>COUNTIF(J1:J5,"")</x:f>
        <x:v>0</x:v>
      </x:c>
      <x:c r="N78" t="n">
        <x:v>5</x:v>
      </x:c>
      <x:c r="O78" t="str">
        <x:v>DIFFERENCE</x:v>
      </x:c>
    </x:row>
  </x:sheetData>
  <x:pageMargins left="0.7" right="0.7" top="0.75" bottom="0.75" header="0.3" footer="0.3"/>
</x:worksheet>
</file>